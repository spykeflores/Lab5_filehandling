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pyke\OneDrive\Documents\"/>
    </mc:Choice>
  </mc:AlternateContent>
  <xr:revisionPtr revIDLastSave="0" documentId="8_{466B20C0-A382-4F36-B493-4A5F885D40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ursing A" sheetId="2" r:id="rId1"/>
    <sheet name="Nursing B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5" l="1"/>
  <c r="J29" i="5" s="1"/>
  <c r="K29" i="5" s="1"/>
  <c r="Q29" i="5"/>
  <c r="R29" i="5" s="1"/>
  <c r="T29" i="5" a="1"/>
  <c r="T29" i="5" s="1"/>
  <c r="U29" i="5" s="1"/>
  <c r="I30" i="5"/>
  <c r="J30" i="5"/>
  <c r="K30" i="5"/>
  <c r="Q30" i="5"/>
  <c r="R30" i="5" s="1"/>
  <c r="T30" i="5" a="1"/>
  <c r="T30" i="5" s="1"/>
  <c r="U30" i="5" s="1"/>
  <c r="I31" i="5"/>
  <c r="J31" i="5" s="1"/>
  <c r="K31" i="5" s="1"/>
  <c r="Q31" i="5"/>
  <c r="R31" i="5" s="1"/>
  <c r="T31" i="5" a="1"/>
  <c r="T31" i="5" s="1"/>
  <c r="U31" i="5" s="1"/>
  <c r="I32" i="5"/>
  <c r="J32" i="5"/>
  <c r="K32" i="5" s="1"/>
  <c r="Q32" i="5"/>
  <c r="R32" i="5"/>
  <c r="T32" i="5" a="1"/>
  <c r="T32" i="5" s="1"/>
  <c r="U32" i="5" s="1"/>
  <c r="I33" i="5"/>
  <c r="J33" i="5"/>
  <c r="K33" i="5" s="1"/>
  <c r="Q33" i="5"/>
  <c r="R33" i="5" s="1"/>
  <c r="T33" i="5" a="1"/>
  <c r="T33" i="5"/>
  <c r="U33" i="5"/>
  <c r="I40" i="2"/>
  <c r="J40" i="2" s="1"/>
  <c r="K40" i="2" s="1"/>
  <c r="Q40" i="2"/>
  <c r="R40" i="2" s="1"/>
  <c r="T40" i="2" a="1"/>
  <c r="T40" i="2" s="1"/>
  <c r="U40" i="2" s="1"/>
  <c r="I38" i="2"/>
  <c r="J38" i="2" s="1"/>
  <c r="K38" i="2" s="1"/>
  <c r="Q38" i="2"/>
  <c r="R38" i="2" s="1"/>
  <c r="T38" i="2" a="1"/>
  <c r="T38" i="2" s="1"/>
  <c r="U38" i="2" s="1"/>
  <c r="I39" i="2"/>
  <c r="J39" i="2"/>
  <c r="K39" i="2" s="1"/>
  <c r="Q39" i="2"/>
  <c r="R39" i="2"/>
  <c r="T39" i="2" a="1"/>
  <c r="T39" i="2" s="1"/>
  <c r="U39" i="2" s="1"/>
  <c r="I31" i="2"/>
  <c r="J31" i="2" s="1"/>
  <c r="K31" i="2" s="1"/>
  <c r="Q31" i="2"/>
  <c r="R31" i="2"/>
  <c r="T31" i="2" a="1"/>
  <c r="T31" i="2" s="1"/>
  <c r="U31" i="2" s="1"/>
  <c r="I32" i="2"/>
  <c r="J32" i="2"/>
  <c r="K32" i="2"/>
  <c r="Q32" i="2"/>
  <c r="R32" i="2"/>
  <c r="T32" i="2" a="1"/>
  <c r="T32" i="2"/>
  <c r="U32" i="2" s="1"/>
  <c r="I33" i="2"/>
  <c r="J33" i="2"/>
  <c r="K33" i="2"/>
  <c r="Q33" i="2"/>
  <c r="R33" i="2" s="1"/>
  <c r="T33" i="2" a="1"/>
  <c r="T33" i="2" s="1"/>
  <c r="U33" i="2" s="1"/>
  <c r="I34" i="2"/>
  <c r="J34" i="2" s="1"/>
  <c r="K34" i="2" s="1"/>
  <c r="Q34" i="2"/>
  <c r="R34" i="2"/>
  <c r="T34" i="2" a="1"/>
  <c r="T34" i="2" s="1"/>
  <c r="U34" i="2" s="1"/>
  <c r="I35" i="2"/>
  <c r="J35" i="2"/>
  <c r="K35" i="2"/>
  <c r="Q35" i="2"/>
  <c r="R35" i="2"/>
  <c r="T35" i="2" a="1"/>
  <c r="T35" i="2" s="1"/>
  <c r="U35" i="2" s="1"/>
  <c r="V35" i="2" s="1"/>
  <c r="I36" i="2"/>
  <c r="J36" i="2" s="1"/>
  <c r="K36" i="2" s="1"/>
  <c r="Q36" i="2"/>
  <c r="R36" i="2" s="1"/>
  <c r="T36" i="2" a="1"/>
  <c r="T36" i="2" s="1"/>
  <c r="U36" i="2" s="1"/>
  <c r="I37" i="2"/>
  <c r="J37" i="2"/>
  <c r="K37" i="2"/>
  <c r="Q37" i="2"/>
  <c r="R37" i="2"/>
  <c r="T37" i="2" a="1"/>
  <c r="T37" i="2" s="1"/>
  <c r="U37" i="2" s="1"/>
  <c r="V37" i="2" s="1"/>
  <c r="T4" i="5" a="1"/>
  <c r="T4" i="5" s="1"/>
  <c r="U4" i="5" s="1"/>
  <c r="T5" i="5" a="1"/>
  <c r="T5" i="5" s="1"/>
  <c r="U5" i="5" s="1"/>
  <c r="T6" i="5" a="1"/>
  <c r="T6" i="5" s="1"/>
  <c r="U6" i="5" s="1"/>
  <c r="T7" i="5" a="1"/>
  <c r="T7" i="5" s="1"/>
  <c r="U7" i="5" s="1"/>
  <c r="T8" i="5" a="1"/>
  <c r="T8" i="5" s="1"/>
  <c r="U8" i="5" s="1"/>
  <c r="T9" i="5" a="1"/>
  <c r="T9" i="5" s="1"/>
  <c r="U9" i="5" s="1"/>
  <c r="T10" i="5" a="1"/>
  <c r="T10" i="5" s="1"/>
  <c r="U10" i="5" s="1"/>
  <c r="T11" i="5" a="1"/>
  <c r="T11" i="5" s="1"/>
  <c r="U11" i="5" s="1"/>
  <c r="T12" i="5" a="1"/>
  <c r="T12" i="5" s="1"/>
  <c r="U12" i="5" s="1"/>
  <c r="T13" i="5" a="1"/>
  <c r="T13" i="5"/>
  <c r="U13" i="5" s="1"/>
  <c r="T14" i="5" a="1"/>
  <c r="T14" i="5" s="1"/>
  <c r="U14" i="5" s="1"/>
  <c r="T15" i="5" a="1"/>
  <c r="T15" i="5" s="1"/>
  <c r="U15" i="5" s="1"/>
  <c r="T16" i="5" a="1"/>
  <c r="T16" i="5" s="1"/>
  <c r="U16" i="5" s="1"/>
  <c r="T17" i="5" a="1"/>
  <c r="T17" i="5" s="1"/>
  <c r="U17" i="5" s="1"/>
  <c r="T18" i="5" a="1"/>
  <c r="T18" i="5" s="1"/>
  <c r="U18" i="5" s="1"/>
  <c r="T19" i="5" a="1"/>
  <c r="T19" i="5"/>
  <c r="U19" i="5" s="1"/>
  <c r="T20" i="5" a="1"/>
  <c r="T20" i="5"/>
  <c r="U20" i="5" s="1"/>
  <c r="T21" i="5" a="1"/>
  <c r="T21" i="5"/>
  <c r="U21" i="5" s="1"/>
  <c r="T22" i="5" a="1"/>
  <c r="T22" i="5" s="1"/>
  <c r="U22" i="5" s="1"/>
  <c r="T23" i="5" a="1"/>
  <c r="T23" i="5" s="1"/>
  <c r="U23" i="5" s="1"/>
  <c r="T24" i="5" a="1"/>
  <c r="T24" i="5" s="1"/>
  <c r="U24" i="5" s="1"/>
  <c r="T25" i="5" a="1"/>
  <c r="T25" i="5" s="1"/>
  <c r="U25" i="5" s="1"/>
  <c r="T26" i="5" a="1"/>
  <c r="T26" i="5"/>
  <c r="U26" i="5" s="1"/>
  <c r="T27" i="5" a="1"/>
  <c r="T27" i="5" s="1"/>
  <c r="U27" i="5" s="1"/>
  <c r="T28" i="5" a="1"/>
  <c r="T28" i="5" s="1"/>
  <c r="U28" i="5" s="1"/>
  <c r="I6" i="5"/>
  <c r="J6" i="5" s="1"/>
  <c r="K6" i="5" s="1"/>
  <c r="I14" i="5"/>
  <c r="I4" i="5"/>
  <c r="I5" i="5"/>
  <c r="J5" i="5" s="1"/>
  <c r="I7" i="5"/>
  <c r="I8" i="5"/>
  <c r="I9" i="5"/>
  <c r="J9" i="5" s="1"/>
  <c r="K9" i="5" s="1"/>
  <c r="I10" i="5"/>
  <c r="I11" i="5"/>
  <c r="I12" i="5"/>
  <c r="I13" i="5"/>
  <c r="I15" i="5"/>
  <c r="I16" i="5"/>
  <c r="J16" i="5" s="1"/>
  <c r="I17" i="5"/>
  <c r="J17" i="5" s="1"/>
  <c r="I18" i="5"/>
  <c r="I19" i="5"/>
  <c r="J19" i="5" s="1"/>
  <c r="I20" i="5"/>
  <c r="I21" i="5"/>
  <c r="J21" i="5" s="1"/>
  <c r="I22" i="5"/>
  <c r="J22" i="5" s="1"/>
  <c r="I23" i="5"/>
  <c r="J23" i="5" s="1"/>
  <c r="I24" i="5"/>
  <c r="J24" i="5" s="1"/>
  <c r="I25" i="5"/>
  <c r="J25" i="5" s="1"/>
  <c r="I26" i="5"/>
  <c r="I27" i="5"/>
  <c r="J27" i="5" s="1"/>
  <c r="I28" i="5"/>
  <c r="I3" i="5"/>
  <c r="J3" i="5" s="1"/>
  <c r="I4" i="2"/>
  <c r="J4" i="2" s="1"/>
  <c r="I5" i="2"/>
  <c r="J5" i="2" s="1"/>
  <c r="I6" i="2"/>
  <c r="J6" i="2" s="1"/>
  <c r="I7" i="2"/>
  <c r="I8" i="2"/>
  <c r="I9" i="2"/>
  <c r="J9" i="2" s="1"/>
  <c r="I10" i="2"/>
  <c r="I11" i="2"/>
  <c r="J11" i="2" s="1"/>
  <c r="I12" i="2"/>
  <c r="J12" i="2" s="1"/>
  <c r="I13" i="2"/>
  <c r="J13" i="2" s="1"/>
  <c r="I14" i="2"/>
  <c r="J14" i="2" s="1"/>
  <c r="I15" i="2"/>
  <c r="J15" i="2" s="1"/>
  <c r="I16" i="2"/>
  <c r="I17" i="2"/>
  <c r="J17" i="2" s="1"/>
  <c r="I18" i="2"/>
  <c r="J18" i="2" s="1"/>
  <c r="I19" i="2"/>
  <c r="J19" i="2" s="1"/>
  <c r="I20" i="2"/>
  <c r="I21" i="2"/>
  <c r="I22" i="2"/>
  <c r="J22" i="2" s="1"/>
  <c r="I23" i="2"/>
  <c r="J23" i="2" s="1"/>
  <c r="I24" i="2"/>
  <c r="I25" i="2"/>
  <c r="I26" i="2"/>
  <c r="J26" i="2" s="1"/>
  <c r="I27" i="2"/>
  <c r="J27" i="2" s="1"/>
  <c r="I28" i="2"/>
  <c r="I29" i="2"/>
  <c r="J29" i="2" s="1"/>
  <c r="I30" i="2"/>
  <c r="J30" i="2" s="1"/>
  <c r="I3" i="2"/>
  <c r="Q3" i="2"/>
  <c r="R3" i="2" s="1"/>
  <c r="T3" i="5" a="1"/>
  <c r="T3" i="5" s="1"/>
  <c r="U3" i="5" s="1"/>
  <c r="Q28" i="5"/>
  <c r="R28" i="5" s="1"/>
  <c r="J28" i="5"/>
  <c r="Q27" i="5"/>
  <c r="R27" i="5" s="1"/>
  <c r="Q26" i="5"/>
  <c r="R26" i="5" s="1"/>
  <c r="Q25" i="5"/>
  <c r="R25" i="5" s="1"/>
  <c r="Q24" i="5"/>
  <c r="R24" i="5" s="1"/>
  <c r="Q23" i="5"/>
  <c r="R23" i="5" s="1"/>
  <c r="Q22" i="5"/>
  <c r="R22" i="5" s="1"/>
  <c r="Q21" i="5"/>
  <c r="R21" i="5" s="1"/>
  <c r="Q20" i="5"/>
  <c r="R20" i="5" s="1"/>
  <c r="J20" i="5"/>
  <c r="Q19" i="5"/>
  <c r="R19" i="5" s="1"/>
  <c r="Q18" i="5"/>
  <c r="R18" i="5" s="1"/>
  <c r="Q17" i="5"/>
  <c r="R17" i="5" s="1"/>
  <c r="Q16" i="5"/>
  <c r="R16" i="5" s="1"/>
  <c r="Q15" i="5"/>
  <c r="R15" i="5" s="1"/>
  <c r="Q14" i="5"/>
  <c r="R14" i="5" s="1"/>
  <c r="Q13" i="5"/>
  <c r="R13" i="5" s="1"/>
  <c r="J13" i="5"/>
  <c r="Q12" i="5"/>
  <c r="R12" i="5" s="1"/>
  <c r="Q11" i="5"/>
  <c r="R11" i="5" s="1"/>
  <c r="Q10" i="5"/>
  <c r="R10" i="5" s="1"/>
  <c r="J10" i="5"/>
  <c r="Q9" i="5"/>
  <c r="R9" i="5" s="1"/>
  <c r="Q8" i="5"/>
  <c r="R8" i="5" s="1"/>
  <c r="Q7" i="5"/>
  <c r="R7" i="5" s="1"/>
  <c r="J7" i="5"/>
  <c r="Q6" i="5"/>
  <c r="R6" i="5" s="1"/>
  <c r="Q5" i="5"/>
  <c r="R5" i="5" s="1"/>
  <c r="Q4" i="5"/>
  <c r="R4" i="5" s="1"/>
  <c r="Q3" i="5"/>
  <c r="R3" i="5" s="1"/>
  <c r="T30" i="2" a="1"/>
  <c r="T30" i="2" s="1"/>
  <c r="U30" i="2" s="1"/>
  <c r="Q30" i="2"/>
  <c r="R30" i="2" s="1"/>
  <c r="T29" i="2" a="1"/>
  <c r="T29" i="2" s="1"/>
  <c r="U29" i="2" s="1"/>
  <c r="Q29" i="2"/>
  <c r="R29" i="2" s="1"/>
  <c r="T28" i="2" a="1"/>
  <c r="T28" i="2" s="1"/>
  <c r="U28" i="2" s="1"/>
  <c r="Q28" i="2"/>
  <c r="R28" i="2" s="1"/>
  <c r="T27" i="2" a="1"/>
  <c r="T27" i="2" s="1"/>
  <c r="U27" i="2" s="1"/>
  <c r="Q27" i="2"/>
  <c r="R27" i="2" s="1"/>
  <c r="T26" i="2" a="1"/>
  <c r="T26" i="2" s="1"/>
  <c r="U26" i="2" s="1"/>
  <c r="Q26" i="2"/>
  <c r="R26" i="2" s="1"/>
  <c r="T25" i="2" a="1"/>
  <c r="T25" i="2" s="1"/>
  <c r="U25" i="2" s="1"/>
  <c r="Q25" i="2"/>
  <c r="R25" i="2" s="1"/>
  <c r="J25" i="2"/>
  <c r="T24" i="2" a="1"/>
  <c r="T24" i="2" s="1"/>
  <c r="U24" i="2" s="1"/>
  <c r="Q24" i="2"/>
  <c r="R24" i="2" s="1"/>
  <c r="T23" i="2" a="1"/>
  <c r="T23" i="2" s="1"/>
  <c r="U23" i="2" s="1"/>
  <c r="Q23" i="2"/>
  <c r="R23" i="2" s="1"/>
  <c r="T22" i="2" a="1"/>
  <c r="T22" i="2" s="1"/>
  <c r="U22" i="2" s="1"/>
  <c r="Q22" i="2"/>
  <c r="R22" i="2" s="1"/>
  <c r="T21" i="2" a="1"/>
  <c r="T21" i="2" s="1"/>
  <c r="U21" i="2" s="1"/>
  <c r="Q21" i="2"/>
  <c r="R21" i="2" s="1"/>
  <c r="T20" i="2" a="1"/>
  <c r="T20" i="2" s="1"/>
  <c r="U20" i="2" s="1"/>
  <c r="Q20" i="2"/>
  <c r="R20" i="2" s="1"/>
  <c r="T19" i="2" a="1"/>
  <c r="T19" i="2" s="1"/>
  <c r="U19" i="2" s="1"/>
  <c r="Q19" i="2"/>
  <c r="R19" i="2" s="1"/>
  <c r="T18" i="2" a="1"/>
  <c r="T18" i="2" s="1"/>
  <c r="U18" i="2" s="1"/>
  <c r="Q18" i="2"/>
  <c r="R18" i="2" s="1"/>
  <c r="T17" i="2" a="1"/>
  <c r="T17" i="2" s="1"/>
  <c r="U17" i="2" s="1"/>
  <c r="Q17" i="2"/>
  <c r="R17" i="2" s="1"/>
  <c r="T16" i="2" a="1"/>
  <c r="T16" i="2" s="1"/>
  <c r="U16" i="2" s="1"/>
  <c r="Q16" i="2"/>
  <c r="R16" i="2" s="1"/>
  <c r="T15" i="2" a="1"/>
  <c r="T15" i="2" s="1"/>
  <c r="U15" i="2" s="1"/>
  <c r="Q15" i="2"/>
  <c r="R15" i="2" s="1"/>
  <c r="T14" i="2" a="1"/>
  <c r="T14" i="2" s="1"/>
  <c r="U14" i="2" s="1"/>
  <c r="Q14" i="2"/>
  <c r="R14" i="2" s="1"/>
  <c r="T13" i="2" a="1"/>
  <c r="T13" i="2" s="1"/>
  <c r="U13" i="2" s="1"/>
  <c r="Q13" i="2"/>
  <c r="R13" i="2" s="1"/>
  <c r="T12" i="2" a="1"/>
  <c r="T12" i="2" s="1"/>
  <c r="U12" i="2" s="1"/>
  <c r="Q12" i="2"/>
  <c r="R12" i="2" s="1"/>
  <c r="T11" i="2" a="1"/>
  <c r="T11" i="2" s="1"/>
  <c r="U11" i="2" s="1"/>
  <c r="Q11" i="2"/>
  <c r="R11" i="2" s="1"/>
  <c r="T10" i="2" a="1"/>
  <c r="T10" i="2" s="1"/>
  <c r="U10" i="2" s="1"/>
  <c r="Q10" i="2"/>
  <c r="R10" i="2" s="1"/>
  <c r="J10" i="2"/>
  <c r="T9" i="2" a="1"/>
  <c r="T9" i="2" s="1"/>
  <c r="U9" i="2" s="1"/>
  <c r="Q9" i="2"/>
  <c r="R9" i="2" s="1"/>
  <c r="T8" i="2" a="1"/>
  <c r="T8" i="2" s="1"/>
  <c r="U8" i="2" s="1"/>
  <c r="Q8" i="2"/>
  <c r="R8" i="2" s="1"/>
  <c r="T7" i="2" a="1"/>
  <c r="T7" i="2" s="1"/>
  <c r="U7" i="2" s="1"/>
  <c r="Q7" i="2"/>
  <c r="R7" i="2" s="1"/>
  <c r="J7" i="2"/>
  <c r="T6" i="2" a="1"/>
  <c r="T6" i="2" s="1"/>
  <c r="U6" i="2" s="1"/>
  <c r="Q6" i="2"/>
  <c r="R6" i="2" s="1"/>
  <c r="T5" i="2" a="1"/>
  <c r="T5" i="2" s="1"/>
  <c r="U5" i="2" s="1"/>
  <c r="Q5" i="2"/>
  <c r="R5" i="2" s="1"/>
  <c r="T4" i="2" a="1"/>
  <c r="T4" i="2" s="1"/>
  <c r="U4" i="2" s="1"/>
  <c r="Q4" i="2"/>
  <c r="R4" i="2" s="1"/>
  <c r="T3" i="2" a="1"/>
  <c r="T3" i="2" s="1"/>
  <c r="U3" i="2" s="1"/>
  <c r="V31" i="5" l="1"/>
  <c r="V30" i="5"/>
  <c r="V33" i="5"/>
  <c r="V32" i="5"/>
  <c r="V29" i="5"/>
  <c r="V40" i="2"/>
  <c r="V39" i="2"/>
  <c r="V38" i="2"/>
  <c r="V36" i="2"/>
  <c r="V33" i="2"/>
  <c r="V32" i="2"/>
  <c r="V34" i="2"/>
  <c r="V31" i="2"/>
  <c r="V6" i="5"/>
  <c r="K7" i="5"/>
  <c r="V7" i="5" s="1"/>
  <c r="K24" i="5"/>
  <c r="V24" i="5" s="1"/>
  <c r="K21" i="5"/>
  <c r="J8" i="5"/>
  <c r="K8" i="5" s="1"/>
  <c r="V8" i="5" s="1"/>
  <c r="J16" i="2"/>
  <c r="K16" i="2" s="1"/>
  <c r="V16" i="2" s="1"/>
  <c r="J20" i="2"/>
  <c r="K20" i="2" s="1"/>
  <c r="V20" i="2" s="1"/>
  <c r="K25" i="2"/>
  <c r="V25" i="2" s="1"/>
  <c r="J18" i="5"/>
  <c r="K18" i="5" s="1"/>
  <c r="V18" i="5" s="1"/>
  <c r="J24" i="2"/>
  <c r="K24" i="2" s="1"/>
  <c r="V24" i="2" s="1"/>
  <c r="J14" i="5"/>
  <c r="K14" i="5" s="1"/>
  <c r="V14" i="5" s="1"/>
  <c r="J11" i="5"/>
  <c r="K11" i="5" s="1"/>
  <c r="V11" i="5" s="1"/>
  <c r="K9" i="2"/>
  <c r="V9" i="2" s="1"/>
  <c r="J3" i="2"/>
  <c r="K3" i="2" s="1"/>
  <c r="V3" i="2" s="1"/>
  <c r="K20" i="5"/>
  <c r="V20" i="5" s="1"/>
  <c r="J21" i="2"/>
  <c r="K21" i="2" s="1"/>
  <c r="V21" i="2" s="1"/>
  <c r="K13" i="2"/>
  <c r="V13" i="2" s="1"/>
  <c r="J15" i="5"/>
  <c r="K15" i="5" s="1"/>
  <c r="V15" i="5" s="1"/>
  <c r="J12" i="5"/>
  <c r="K12" i="5" s="1"/>
  <c r="V12" i="5" s="1"/>
  <c r="K10" i="2"/>
  <c r="V10" i="2" s="1"/>
  <c r="J28" i="2"/>
  <c r="K28" i="2" s="1"/>
  <c r="V28" i="2" s="1"/>
  <c r="K22" i="2"/>
  <c r="V22" i="2" s="1"/>
  <c r="K12" i="2"/>
  <c r="V12" i="2" s="1"/>
  <c r="J8" i="2"/>
  <c r="K8" i="2" s="1"/>
  <c r="V8" i="2" s="1"/>
  <c r="J4" i="5"/>
  <c r="K4" i="5" s="1"/>
  <c r="V4" i="5" s="1"/>
  <c r="K4" i="2"/>
  <c r="V4" i="2" s="1"/>
  <c r="J26" i="5"/>
  <c r="K26" i="5" s="1"/>
  <c r="V26" i="5" s="1"/>
  <c r="K23" i="5"/>
  <c r="V23" i="5" s="1"/>
  <c r="K22" i="5"/>
  <c r="V22" i="5" s="1"/>
  <c r="K19" i="5"/>
  <c r="V19" i="5" s="1"/>
  <c r="K5" i="5"/>
  <c r="V5" i="5" s="1"/>
  <c r="K27" i="5"/>
  <c r="V27" i="5" s="1"/>
  <c r="K16" i="5"/>
  <c r="V16" i="5" s="1"/>
  <c r="K13" i="5"/>
  <c r="V13" i="5" s="1"/>
  <c r="K17" i="5"/>
  <c r="V17" i="5" s="1"/>
  <c r="K28" i="5"/>
  <c r="V28" i="5" s="1"/>
  <c r="K10" i="5"/>
  <c r="V10" i="5" s="1"/>
  <c r="K25" i="5"/>
  <c r="V25" i="5" s="1"/>
  <c r="K3" i="5"/>
  <c r="V3" i="5" s="1"/>
  <c r="K5" i="2"/>
  <c r="V5" i="2" s="1"/>
  <c r="K17" i="2"/>
  <c r="V17" i="2" s="1"/>
  <c r="K29" i="2"/>
  <c r="V29" i="2" s="1"/>
  <c r="K6" i="2"/>
  <c r="V6" i="2" s="1"/>
  <c r="K14" i="2"/>
  <c r="V14" i="2" s="1"/>
  <c r="K18" i="2"/>
  <c r="V18" i="2" s="1"/>
  <c r="K26" i="2"/>
  <c r="V26" i="2" s="1"/>
  <c r="K30" i="2"/>
  <c r="V30" i="2" s="1"/>
  <c r="K7" i="2"/>
  <c r="V7" i="2" s="1"/>
  <c r="K11" i="2"/>
  <c r="V11" i="2" s="1"/>
  <c r="K15" i="2"/>
  <c r="V15" i="2" s="1"/>
  <c r="K19" i="2"/>
  <c r="V19" i="2" s="1"/>
  <c r="K23" i="2"/>
  <c r="V23" i="2" s="1"/>
  <c r="K27" i="2"/>
  <c r="V27" i="2" s="1"/>
  <c r="V9" i="5"/>
  <c r="V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tc={FEB0302C-3F8C-482C-8202-EA2432FC5509}</author>
  </authors>
  <commentList>
    <comment ref="H3" authorId="0" shapeId="0" xr:uid="{FEB0302C-3F8C-482C-8202-EA2432FC55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contribution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<sst xmlns="http://schemas.openxmlformats.org/spreadsheetml/2006/main" count="176" uniqueCount="155">
  <si>
    <t>Student No.</t>
  </si>
  <si>
    <t>Student Name</t>
  </si>
  <si>
    <t>Act 1</t>
  </si>
  <si>
    <t>Act 2</t>
  </si>
  <si>
    <t>Total</t>
  </si>
  <si>
    <t>total</t>
  </si>
  <si>
    <t>Average</t>
  </si>
  <si>
    <t>DF1</t>
  </si>
  <si>
    <t>DF2</t>
  </si>
  <si>
    <t>DF3</t>
  </si>
  <si>
    <t>DF4</t>
  </si>
  <si>
    <t>DF5</t>
  </si>
  <si>
    <t>Grade</t>
  </si>
  <si>
    <t xml:space="preserve">Exam </t>
  </si>
  <si>
    <t>ID Number</t>
  </si>
  <si>
    <t>SCIENCE TECHNOLOGY AND SOCIETY</t>
  </si>
  <si>
    <t>Group Act 1</t>
  </si>
  <si>
    <t>Group Act 2</t>
  </si>
  <si>
    <t>Group Act 3</t>
  </si>
  <si>
    <t>AMA, WHISCHELLE DOMANTAY</t>
  </si>
  <si>
    <t>ARREZA, JAZELLE MAE ABANES</t>
  </si>
  <si>
    <t>BAJESTA, YENDOR LEIGH ZARCENO</t>
  </si>
  <si>
    <t>BANZUELO, ANDREA MARCELO</t>
  </si>
  <si>
    <t>BARONIA, LORRAINE FEONA</t>
  </si>
  <si>
    <t>BASCON, KYLE CHRISTIAN GALVEZ</t>
  </si>
  <si>
    <t>CABRERA, ALYZZA RENEE UMALI</t>
  </si>
  <si>
    <t>CALAZAN, ALEIA THERESE</t>
  </si>
  <si>
    <t>CANLAS, CHLOE LOUISE GLOVER</t>
  </si>
  <si>
    <t>CAO, KEITH FRANCIS PATAWARAN</t>
  </si>
  <si>
    <t>CHANG, CIARA NAOMI LOPEZ</t>
  </si>
  <si>
    <t>CHO, EMMA MEZOH</t>
  </si>
  <si>
    <t>DATU-DACULA, SHAKIRA MALAWANI</t>
  </si>
  <si>
    <t>GABRIEL, CHRIZEL ANNE TORRENO</t>
  </si>
  <si>
    <t>GOYENA, NAOMI CHRISTIANNE</t>
  </si>
  <si>
    <t>HERNANDEZ, PRINCESS LYRENE JOLI</t>
  </si>
  <si>
    <t>LACNIT, ARRIANE MAE CHATTO</t>
  </si>
  <si>
    <t>LOON, URIEL KIRSTYN ALPUERTO</t>
  </si>
  <si>
    <t>LUCAS, SOPHIA LORRAINE TUPAZ</t>
  </si>
  <si>
    <t>MANALO, MATTHEW AGUPALO</t>
  </si>
  <si>
    <t>MANGABA, FRANCHESCA MAE</t>
  </si>
  <si>
    <t>MARQUEZ, JOAQUIN VILLEGAS</t>
  </si>
  <si>
    <t>MOYA, ZIA ELLIZE BELINO</t>
  </si>
  <si>
    <t>NECESITO, CATHERINE JEWEL</t>
  </si>
  <si>
    <t>OSMENA, JULIANA CASSANDRA VEGA</t>
  </si>
  <si>
    <t>PABLO, DIMPLE ANNE SEROTE</t>
  </si>
  <si>
    <t>PALMES, JOHN GABRIEL ARQUISOLA</t>
  </si>
  <si>
    <t>PEREZ, SEANMAR ROGER</t>
  </si>
  <si>
    <t>PINEDA, JAZENHA AMICI HALL</t>
  </si>
  <si>
    <t>SANTIAGO, ANNA MARIE</t>
  </si>
  <si>
    <t>SANTOS, KIMBERLY ANN VILLENA</t>
  </si>
  <si>
    <t>SORIANO, KHATE KYLA BAGASINA</t>
  </si>
  <si>
    <t>TAN, GABRIELLE MARI BUNDALIAN</t>
  </si>
  <si>
    <t>TULAGAN, SHEILA MAE FERNANDEZ</t>
  </si>
  <si>
    <t>URBIZTONDO, ERIN JAYNE MAGSINO</t>
  </si>
  <si>
    <t>VO, CHAU QUYNH BAO</t>
  </si>
  <si>
    <t>YANG, SARAH MERERIA</t>
  </si>
  <si>
    <t>ZAPANTA, JOHN ANDREW DE GUZMAN</t>
  </si>
  <si>
    <t>23-0282C</t>
  </si>
  <si>
    <t>23-0031C</t>
  </si>
  <si>
    <t>23-0133C</t>
  </si>
  <si>
    <t>23-0154C</t>
  </si>
  <si>
    <t>24-0301C</t>
  </si>
  <si>
    <t>23-0126C</t>
  </si>
  <si>
    <t>23-0274C</t>
  </si>
  <si>
    <t>23-0017C</t>
  </si>
  <si>
    <t>23-0182C</t>
  </si>
  <si>
    <t>23-0030C</t>
  </si>
  <si>
    <t>23-0014C</t>
  </si>
  <si>
    <t>22-0352C</t>
  </si>
  <si>
    <t>23-0284C</t>
  </si>
  <si>
    <t>23-0142C</t>
  </si>
  <si>
    <t>23-0237C</t>
  </si>
  <si>
    <t>23-0040C</t>
  </si>
  <si>
    <t>24-0105C</t>
  </si>
  <si>
    <t>23-0044C</t>
  </si>
  <si>
    <t>23-0166C</t>
  </si>
  <si>
    <t>23-0034C</t>
  </si>
  <si>
    <t>23-0026C</t>
  </si>
  <si>
    <t>23-0002C</t>
  </si>
  <si>
    <t>24-0263C</t>
  </si>
  <si>
    <t>23-0427C</t>
  </si>
  <si>
    <t>23-0304C</t>
  </si>
  <si>
    <t>23-0432C</t>
  </si>
  <si>
    <t>22-0029C</t>
  </si>
  <si>
    <t>23-0239C</t>
  </si>
  <si>
    <t>23-0242C</t>
  </si>
  <si>
    <t>23-0334C</t>
  </si>
  <si>
    <t>23-0201C</t>
  </si>
  <si>
    <t>23-0443C</t>
  </si>
  <si>
    <t>23-0098C</t>
  </si>
  <si>
    <t>23-0231C</t>
  </si>
  <si>
    <t>23-0338C</t>
  </si>
  <si>
    <t>23-0063C</t>
  </si>
  <si>
    <t>23-0153C</t>
  </si>
  <si>
    <t>23-0118C</t>
  </si>
  <si>
    <t>ANCIANO, SANTINA NICOLE ELEVAZO</t>
  </si>
  <si>
    <t>BARCELONA, ALEXIA ADRIANNA</t>
  </si>
  <si>
    <t>CALAGUIAN, ARA KATRINA SALERES</t>
  </si>
  <si>
    <t>CANCIO, DIANA LASALA</t>
  </si>
  <si>
    <t>DE VERA, ZHARLYNNE JOY ANDRADE</t>
  </si>
  <si>
    <t>GENEROSO, ANGELA LENN AGUILAR</t>
  </si>
  <si>
    <t>LARA, MA. ALEXA ANDREA GONZALES</t>
  </si>
  <si>
    <t>LE, NHU QUYNH</t>
  </si>
  <si>
    <t>LOYOLA, CASSANDRA MAE SISON</t>
  </si>
  <si>
    <t>MALOLOS, FRANCESCA ELINOR</t>
  </si>
  <si>
    <t>MINDO, ROHAN LEIGH PAGDONSOLAN</t>
  </si>
  <si>
    <t>NAZARIO, ANNIKA KIRSTEN CORDERO</t>
  </si>
  <si>
    <t>NUEVAS, JAIME ANTOINE IV VENTURINA</t>
  </si>
  <si>
    <t>ODAKA, KURT CEDRICK</t>
  </si>
  <si>
    <t>OLFATO, LIL ARIANNE ALVIAR</t>
  </si>
  <si>
    <t>PARCO, TRISHA MAE NOORA</t>
  </si>
  <si>
    <t>RAMAYRAT, SHANELLE PATTRICE</t>
  </si>
  <si>
    <t>RAMOS, ALLEN JEWEL S</t>
  </si>
  <si>
    <t>REYES, AARON JAMES CORTEZ</t>
  </si>
  <si>
    <t>RICKETTS, BRANDON MAX MERCADO</t>
  </si>
  <si>
    <t>RINGOR, NIZEL PERRY DELA CRUZ</t>
  </si>
  <si>
    <t>RIVERA, ISABELLA LOUISE FERRER</t>
  </si>
  <si>
    <t>SADIASA, JEN RYZA ROCERO</t>
  </si>
  <si>
    <t>SADIASA, JULIUS SOLIVEN ROCERO</t>
  </si>
  <si>
    <t>SANTIAGO, ROBYN RACHEL BO</t>
  </si>
  <si>
    <t>SILVA, MARY CRYSTEL BATILLER</t>
  </si>
  <si>
    <t>TABARES, ZENIA MINXIE PAKANNA</t>
  </si>
  <si>
    <t>TORRERO, JARELLE LOUISE GACETA</t>
  </si>
  <si>
    <t>UNGCO, JOSE MARIA GONZALES</t>
  </si>
  <si>
    <t>23-0081C</t>
  </si>
  <si>
    <t>20-0111C</t>
  </si>
  <si>
    <t>23-0258C</t>
  </si>
  <si>
    <t>23-0136C</t>
  </si>
  <si>
    <t>23-0146C</t>
  </si>
  <si>
    <t>23-0078C</t>
  </si>
  <si>
    <t>KAUR, RAMNEEK-</t>
  </si>
  <si>
    <t>23-0041C</t>
  </si>
  <si>
    <t>23-0298C</t>
  </si>
  <si>
    <t>23-0151C</t>
  </si>
  <si>
    <t>23-0051C</t>
  </si>
  <si>
    <t>23-0052C</t>
  </si>
  <si>
    <t>23-0090C</t>
  </si>
  <si>
    <t>23-0006C</t>
  </si>
  <si>
    <t>23-0152C</t>
  </si>
  <si>
    <t>23-0086C</t>
  </si>
  <si>
    <t>23-0071C</t>
  </si>
  <si>
    <t>23-0121C</t>
  </si>
  <si>
    <t>23-0117C</t>
  </si>
  <si>
    <t>23-0249C</t>
  </si>
  <si>
    <t>23-0172C</t>
  </si>
  <si>
    <t>23-0175C</t>
  </si>
  <si>
    <t>23-0124C</t>
  </si>
  <si>
    <t>23-0130C</t>
  </si>
  <si>
    <t>23-0162C</t>
  </si>
  <si>
    <t>23-0161C</t>
  </si>
  <si>
    <t>23-0007C</t>
  </si>
  <si>
    <t>23-0087C</t>
  </si>
  <si>
    <t>23-0209C</t>
  </si>
  <si>
    <t>23-0061C</t>
  </si>
  <si>
    <t>23-0011C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</si>
</sst>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41D4C"/>
        <bgColor rgb="FF441D4C"/>
      </patternFill>
    </fill>
    <fill>
      <patternFill patternType="solid">
        <fgColor theme="0"/>
        <bgColor theme="0"/>
      </patternFill>
    </fill>
    <fill>
      <patternFill patternType="solid">
        <fgColor rgb="FFCC99FF"/>
        <bgColor rgb="FF00FFFF"/>
      </patternFill>
    </fill>
    <fill>
      <patternFill patternType="solid">
        <fgColor rgb="FFCC99FF"/>
        <bgColor indexed="64"/>
      </patternFill>
    </fill>
    <fill>
      <patternFill patternType="solid">
        <fgColor rgb="FFFFCCCC"/>
        <bgColor rgb="FF92D050"/>
      </patternFill>
    </fill>
    <fill>
      <patternFill patternType="solid">
        <fgColor rgb="FFFF6699"/>
        <bgColor rgb="FFFF99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9" fontId="3" fillId="6" borderId="5" xfId="0" applyNumberFormat="1" applyFont="1" applyFill="1" applyBorder="1" applyAlignment="1">
      <alignment horizontal="center"/>
    </xf>
    <xf numFmtId="1" fontId="3" fillId="6" borderId="5" xfId="0" applyNumberFormat="1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0" borderId="11" xfId="0" applyFont="1" applyBorder="1"/>
    <xf numFmtId="0" fontId="3" fillId="3" borderId="9" xfId="0" applyFont="1" applyFill="1" applyBorder="1"/>
    <xf numFmtId="2" fontId="3" fillId="6" borderId="5" xfId="0" applyNumberFormat="1" applyFont="1" applyFill="1" applyBorder="1"/>
    <xf numFmtId="2" fontId="3" fillId="6" borderId="10" xfId="0" applyNumberFormat="1" applyFont="1" applyFill="1" applyBorder="1"/>
    <xf numFmtId="1" fontId="4" fillId="0" borderId="5" xfId="0" applyNumberFormat="1" applyFont="1" applyBorder="1"/>
    <xf numFmtId="1" fontId="3" fillId="6" borderId="9" xfId="0" applyNumberFormat="1" applyFont="1" applyFill="1" applyBorder="1"/>
    <xf numFmtId="0" fontId="3" fillId="3" borderId="5" xfId="0" applyFont="1" applyFill="1" applyBorder="1"/>
    <xf numFmtId="1" fontId="3" fillId="6" borderId="5" xfId="0" applyNumberFormat="1" applyFont="1" applyFill="1" applyBorder="1"/>
    <xf numFmtId="1" fontId="3" fillId="7" borderId="5" xfId="0" applyNumberFormat="1" applyFont="1" applyFill="1" applyBorder="1"/>
    <xf numFmtId="0" fontId="3" fillId="0" borderId="0" xfId="0" applyFont="1"/>
    <xf numFmtId="1" fontId="3" fillId="0" borderId="5" xfId="0" applyNumberFormat="1" applyFont="1" applyBorder="1"/>
    <xf numFmtId="1" fontId="5" fillId="0" borderId="5" xfId="0" applyNumberFormat="1" applyFont="1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9" fontId="9" fillId="6" borderId="5" xfId="0" applyNumberFormat="1" applyFont="1" applyFill="1" applyBorder="1" applyAlignment="1">
      <alignment horizontal="center"/>
    </xf>
    <xf numFmtId="1" fontId="9" fillId="6" borderId="5" xfId="0" applyNumberFormat="1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9" fillId="0" borderId="11" xfId="0" applyFont="1" applyBorder="1"/>
    <xf numFmtId="0" fontId="4" fillId="8" borderId="12" xfId="0" applyFont="1" applyFill="1" applyBorder="1" applyAlignment="1">
      <alignment vertical="center" wrapText="1"/>
    </xf>
    <xf numFmtId="0" fontId="9" fillId="3" borderId="12" xfId="0" applyFont="1" applyFill="1" applyBorder="1"/>
    <xf numFmtId="0" fontId="9" fillId="3" borderId="9" xfId="0" applyFont="1" applyFill="1" applyBorder="1"/>
    <xf numFmtId="2" fontId="9" fillId="6" borderId="5" xfId="0" applyNumberFormat="1" applyFont="1" applyFill="1" applyBorder="1"/>
    <xf numFmtId="2" fontId="9" fillId="6" borderId="10" xfId="0" applyNumberFormat="1" applyFont="1" applyFill="1" applyBorder="1"/>
    <xf numFmtId="1" fontId="9" fillId="6" borderId="9" xfId="0" applyNumberFormat="1" applyFont="1" applyFill="1" applyBorder="1"/>
    <xf numFmtId="0" fontId="9" fillId="3" borderId="5" xfId="0" applyFont="1" applyFill="1" applyBorder="1"/>
    <xf numFmtId="1" fontId="9" fillId="6" borderId="5" xfId="0" applyNumberFormat="1" applyFont="1" applyFill="1" applyBorder="1"/>
    <xf numFmtId="1" fontId="9" fillId="7" borderId="5" xfId="0" applyNumberFormat="1" applyFont="1" applyFill="1" applyBorder="1"/>
    <xf numFmtId="0" fontId="4" fillId="0" borderId="12" xfId="0" applyFont="1" applyBorder="1"/>
    <xf numFmtId="0" fontId="9" fillId="0" borderId="0" xfId="0" applyFont="1"/>
    <xf numFmtId="1" fontId="9" fillId="0" borderId="5" xfId="0" applyNumberFormat="1" applyFont="1" applyBorder="1"/>
    <xf numFmtId="0" fontId="5" fillId="8" borderId="8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vertical="center" wrapText="1"/>
    </xf>
    <xf numFmtId="1" fontId="4" fillId="9" borderId="5" xfId="0" applyNumberFormat="1" applyFont="1" applyFill="1" applyBorder="1"/>
    <xf numFmtId="1" fontId="5" fillId="9" borderId="5" xfId="0" applyNumberFormat="1" applyFont="1" applyFill="1" applyBorder="1"/>
    <xf numFmtId="2" fontId="3" fillId="3" borderId="9" xfId="0" applyNumberFormat="1" applyFont="1" applyFill="1" applyBorder="1"/>
    <xf numFmtId="0" fontId="7" fillId="4" borderId="2" xfId="0" applyFont="1" applyFill="1" applyBorder="1" applyAlignment="1">
      <alignment horizontal="center"/>
    </xf>
    <xf numFmtId="0" fontId="8" fillId="5" borderId="3" xfId="0" applyFont="1" applyFill="1" applyBorder="1"/>
    <xf numFmtId="0" fontId="8" fillId="5" borderId="4" xfId="0" applyFont="1" applyFill="1" applyBorder="1"/>
    <xf numFmtId="0" fontId="3" fillId="4" borderId="2" xfId="0" applyFont="1" applyFill="1" applyBorder="1" applyAlignment="1">
      <alignment horizontal="center"/>
    </xf>
    <xf numFmtId="0" fontId="2" fillId="5" borderId="3" xfId="0" applyFont="1" applyFill="1" applyBorder="1"/>
    <xf numFmtId="0" fontId="2" fillId="5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  <color rgb="FFFFCC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oeazakurah2192@gmail.com" id="{758EEA0D-7A03-4294-98B5-842FE7240D0C}" userId="409569a48cd75f11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04-09T11:27:43.64" personId="{758EEA0D-7A03-4294-98B5-842FE7240D0C}" id="{FEB0302C-3F8C-482C-8202-EA2432FC5509}">
    <text xml:space="preserve">No contribution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000"/>
  <sheetViews>
    <sheetView topLeftCell="B13" zoomScale="84" zoomScaleNormal="84" workbookViewId="0">
      <selection activeCell="X37" sqref="X37"/>
    </sheetView>
  </sheetViews>
  <sheetFormatPr defaultColWidth="14.44140625" defaultRowHeight="15" customHeight="1" x14ac:dyDescent="0.3"/>
  <cols>
    <col min="1" max="1" width="13.44140625" hidden="1" customWidth="1"/>
    <col min="2" max="2" width="13.44140625" customWidth="1"/>
    <col min="3" max="3" width="37.44140625" customWidth="1"/>
    <col min="4" max="5" width="9.109375" customWidth="1"/>
    <col min="6" max="6" width="11.109375" customWidth="1"/>
    <col min="7" max="7" width="10.88671875" customWidth="1"/>
    <col min="8" max="8" width="11.5546875" customWidth="1"/>
    <col min="9" max="11" width="9.109375" customWidth="1"/>
    <col min="12" max="12" width="5.77734375" customWidth="1"/>
    <col min="13" max="13" width="6.6640625" customWidth="1"/>
    <col min="14" max="14" width="5.44140625" customWidth="1"/>
    <col min="15" max="15" width="5.6640625" customWidth="1"/>
    <col min="16" max="16" width="5.21875" customWidth="1"/>
    <col min="17" max="18" width="8.6640625" customWidth="1"/>
    <col min="19" max="19" width="6.21875" customWidth="1"/>
    <col min="20" max="20" width="8.6640625" customWidth="1"/>
    <col min="21" max="21" width="8.88671875" customWidth="1"/>
    <col min="22" max="22" width="8.6640625" customWidth="1"/>
  </cols>
  <sheetData>
    <row r="1" spans="1:22" ht="14.4" x14ac:dyDescent="0.3">
      <c r="A1" s="19"/>
      <c r="B1" s="20"/>
      <c r="C1" s="21"/>
      <c r="D1" s="55" t="s">
        <v>15</v>
      </c>
      <c r="E1" s="56"/>
      <c r="F1" s="56"/>
      <c r="G1" s="57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7"/>
    </row>
    <row r="2" spans="1:22" ht="14.4" x14ac:dyDescent="0.3">
      <c r="A2" s="22" t="s">
        <v>0</v>
      </c>
      <c r="B2" s="23" t="s">
        <v>14</v>
      </c>
      <c r="C2" s="24" t="s">
        <v>1</v>
      </c>
      <c r="D2" s="25" t="s">
        <v>2</v>
      </c>
      <c r="E2" s="26" t="s">
        <v>3</v>
      </c>
      <c r="F2" s="26" t="s">
        <v>16</v>
      </c>
      <c r="G2" s="26" t="s">
        <v>17</v>
      </c>
      <c r="H2" s="26" t="s">
        <v>18</v>
      </c>
      <c r="I2" s="27" t="s">
        <v>4</v>
      </c>
      <c r="J2" s="27" t="s">
        <v>5</v>
      </c>
      <c r="K2" s="28">
        <v>0.3</v>
      </c>
      <c r="L2" s="25" t="s">
        <v>7</v>
      </c>
      <c r="M2" s="25" t="s">
        <v>8</v>
      </c>
      <c r="N2" s="25" t="s">
        <v>9</v>
      </c>
      <c r="O2" s="25" t="s">
        <v>10</v>
      </c>
      <c r="P2" s="25" t="s">
        <v>11</v>
      </c>
      <c r="Q2" s="27" t="s">
        <v>5</v>
      </c>
      <c r="R2" s="28">
        <v>0.3</v>
      </c>
      <c r="S2" s="26" t="s">
        <v>13</v>
      </c>
      <c r="T2" s="29" t="s">
        <v>6</v>
      </c>
      <c r="U2" s="28">
        <v>0.4</v>
      </c>
      <c r="V2" s="30" t="s">
        <v>12</v>
      </c>
    </row>
    <row r="3" spans="1:22" ht="14.4" x14ac:dyDescent="0.3">
      <c r="A3" s="31"/>
      <c r="B3" t="s">
        <v>57</v>
      </c>
      <c r="C3" t="s">
        <v>19</v>
      </c>
      <c r="D3" s="33"/>
      <c r="E3" s="34"/>
      <c r="F3" s="34"/>
      <c r="G3" s="34"/>
      <c r="H3" s="34"/>
      <c r="I3" s="35">
        <f>SUM(D3:H3)</f>
        <v>0</v>
      </c>
      <c r="J3" s="35">
        <f>(I3/340)*50+50</f>
        <v>50</v>
      </c>
      <c r="K3" s="36">
        <f>J3*30%</f>
        <v>15</v>
      </c>
      <c r="L3" s="52"/>
      <c r="M3" s="52"/>
      <c r="N3" s="52"/>
      <c r="O3" s="52"/>
      <c r="P3" s="52"/>
      <c r="Q3" s="37">
        <f>(((SUM(L3:P3))/50)*50+50)</f>
        <v>50</v>
      </c>
      <c r="R3" s="35">
        <f>Q3*30%</f>
        <v>15</v>
      </c>
      <c r="S3" s="38"/>
      <c r="T3" s="39">
        <f t="array" ref="T3">(SUM(S3:S3/50)*50+50)</f>
        <v>50</v>
      </c>
      <c r="U3" s="35">
        <f>T3*40%</f>
        <v>20</v>
      </c>
      <c r="V3" s="40">
        <f>K3+R3+U3</f>
        <v>50</v>
      </c>
    </row>
    <row r="4" spans="1:22" ht="14.25" customHeight="1" x14ac:dyDescent="0.3">
      <c r="A4" s="31"/>
      <c r="B4" t="s">
        <v>58</v>
      </c>
      <c r="C4" t="s">
        <v>20</v>
      </c>
      <c r="D4" s="33"/>
      <c r="E4" s="34"/>
      <c r="F4" s="34"/>
      <c r="G4" s="34"/>
      <c r="H4" s="34"/>
      <c r="I4" s="35">
        <f t="shared" ref="I4:I30" si="0">SUM(D4:H4)</f>
        <v>0</v>
      </c>
      <c r="J4" s="35">
        <f t="shared" ref="J4:J30" si="1">(I4/340)*50+50</f>
        <v>50</v>
      </c>
      <c r="K4" s="36">
        <f t="shared" ref="K4:K30" si="2">J4*30%</f>
        <v>15</v>
      </c>
      <c r="L4" s="11"/>
      <c r="M4" s="11"/>
      <c r="N4" s="11"/>
      <c r="O4" s="11"/>
      <c r="P4" s="11"/>
      <c r="Q4" s="37">
        <f t="shared" ref="Q4:Q30" si="3">(((SUM(L4:P4))/50)*50+50)</f>
        <v>50</v>
      </c>
      <c r="R4" s="35">
        <f t="shared" ref="R4:R30" si="4">Q4*30%</f>
        <v>15</v>
      </c>
      <c r="S4" s="38"/>
      <c r="T4" s="39">
        <f t="array" ref="T4">(SUM(S4:S4/50)*50+50)</f>
        <v>50</v>
      </c>
      <c r="U4" s="35">
        <f t="shared" ref="U4:U30" si="5">T4*40%</f>
        <v>20</v>
      </c>
      <c r="V4" s="40">
        <f t="shared" ref="V4:V32" si="6">K4+R4+U4</f>
        <v>50</v>
      </c>
    </row>
    <row r="5" spans="1:22" ht="14.4" x14ac:dyDescent="0.3">
      <c r="A5" s="31"/>
      <c r="B5" t="s">
        <v>59</v>
      </c>
      <c r="C5" t="s">
        <v>21</v>
      </c>
      <c r="D5" s="33"/>
      <c r="E5" s="34"/>
      <c r="F5" s="34"/>
      <c r="G5" s="34"/>
      <c r="H5" s="34"/>
      <c r="I5" s="35">
        <f t="shared" si="0"/>
        <v>0</v>
      </c>
      <c r="J5" s="35">
        <f t="shared" si="1"/>
        <v>50</v>
      </c>
      <c r="K5" s="36">
        <f t="shared" si="2"/>
        <v>15</v>
      </c>
      <c r="L5" s="11"/>
      <c r="M5" s="11"/>
      <c r="N5" s="11"/>
      <c r="O5" s="11"/>
      <c r="P5" s="11"/>
      <c r="Q5" s="37">
        <f t="shared" si="3"/>
        <v>50</v>
      </c>
      <c r="R5" s="35">
        <f t="shared" si="4"/>
        <v>15</v>
      </c>
      <c r="S5" s="38"/>
      <c r="T5" s="39">
        <f t="array" ref="T5">(SUM(S5:S5/50)*50+50)</f>
        <v>50</v>
      </c>
      <c r="U5" s="35">
        <f t="shared" si="5"/>
        <v>20</v>
      </c>
      <c r="V5" s="40">
        <f t="shared" si="6"/>
        <v>50</v>
      </c>
    </row>
    <row r="6" spans="1:22" ht="18.75" customHeight="1" x14ac:dyDescent="0.3">
      <c r="A6" s="31"/>
      <c r="B6" t="s">
        <v>60</v>
      </c>
      <c r="C6" t="s">
        <v>22</v>
      </c>
      <c r="D6" s="33"/>
      <c r="E6" s="34"/>
      <c r="F6" s="34"/>
      <c r="G6" s="34"/>
      <c r="H6" s="34"/>
      <c r="I6" s="35">
        <f t="shared" si="0"/>
        <v>0</v>
      </c>
      <c r="J6" s="35">
        <f t="shared" si="1"/>
        <v>50</v>
      </c>
      <c r="K6" s="36">
        <f t="shared" si="2"/>
        <v>15</v>
      </c>
      <c r="L6" s="11"/>
      <c r="M6" s="11"/>
      <c r="N6" s="11"/>
      <c r="O6" s="11"/>
      <c r="P6" s="11"/>
      <c r="Q6" s="37">
        <f t="shared" si="3"/>
        <v>50</v>
      </c>
      <c r="R6" s="35">
        <f t="shared" si="4"/>
        <v>15</v>
      </c>
      <c r="S6" s="38"/>
      <c r="T6" s="39">
        <f t="array" ref="T6">(SUM(S6:S6/50)*50+50)</f>
        <v>50</v>
      </c>
      <c r="U6" s="35">
        <f t="shared" si="5"/>
        <v>20</v>
      </c>
      <c r="V6" s="40">
        <f t="shared" si="6"/>
        <v>50</v>
      </c>
    </row>
    <row r="7" spans="1:22" ht="14.4" x14ac:dyDescent="0.3">
      <c r="A7" s="31"/>
      <c r="B7" s="32" t="s">
        <v>61</v>
      </c>
      <c r="C7" t="s">
        <v>23</v>
      </c>
      <c r="D7" s="33"/>
      <c r="E7" s="34"/>
      <c r="F7" s="34"/>
      <c r="G7" s="34"/>
      <c r="H7" s="34"/>
      <c r="I7" s="35">
        <f t="shared" si="0"/>
        <v>0</v>
      </c>
      <c r="J7" s="35">
        <f t="shared" si="1"/>
        <v>50</v>
      </c>
      <c r="K7" s="36">
        <f t="shared" si="2"/>
        <v>15</v>
      </c>
      <c r="L7" s="11"/>
      <c r="M7" s="11"/>
      <c r="N7" s="11"/>
      <c r="O7" s="11"/>
      <c r="P7" s="11"/>
      <c r="Q7" s="37">
        <f t="shared" si="3"/>
        <v>50</v>
      </c>
      <c r="R7" s="35">
        <f t="shared" si="4"/>
        <v>15</v>
      </c>
      <c r="S7" s="38"/>
      <c r="T7" s="39">
        <f t="array" ref="T7">(SUM(S7:S7/50)*50+50)</f>
        <v>50</v>
      </c>
      <c r="U7" s="35">
        <f t="shared" si="5"/>
        <v>20</v>
      </c>
      <c r="V7" s="40">
        <f t="shared" si="6"/>
        <v>50</v>
      </c>
    </row>
    <row r="8" spans="1:22" ht="14.25" customHeight="1" x14ac:dyDescent="0.3">
      <c r="A8" s="31"/>
      <c r="B8" t="s">
        <v>62</v>
      </c>
      <c r="C8" t="s">
        <v>24</v>
      </c>
      <c r="D8" s="33"/>
      <c r="E8" s="34"/>
      <c r="F8" s="34"/>
      <c r="G8" s="34"/>
      <c r="H8" s="34"/>
      <c r="I8" s="35">
        <f t="shared" si="0"/>
        <v>0</v>
      </c>
      <c r="J8" s="35">
        <f t="shared" si="1"/>
        <v>50</v>
      </c>
      <c r="K8" s="36">
        <f t="shared" si="2"/>
        <v>15</v>
      </c>
      <c r="L8" s="11"/>
      <c r="M8" s="11"/>
      <c r="N8" s="11"/>
      <c r="O8" s="11"/>
      <c r="P8" s="11"/>
      <c r="Q8" s="37">
        <f t="shared" si="3"/>
        <v>50</v>
      </c>
      <c r="R8" s="35">
        <f t="shared" si="4"/>
        <v>15</v>
      </c>
      <c r="S8" s="38"/>
      <c r="T8" s="39">
        <f t="array" ref="T8">(SUM(S8:S8/50)*50+50)</f>
        <v>50</v>
      </c>
      <c r="U8" s="35">
        <f t="shared" si="5"/>
        <v>20</v>
      </c>
      <c r="V8" s="40">
        <f t="shared" si="6"/>
        <v>50</v>
      </c>
    </row>
    <row r="9" spans="1:22" ht="14.4" x14ac:dyDescent="0.3">
      <c r="A9" s="31"/>
      <c r="B9" t="s">
        <v>63</v>
      </c>
      <c r="C9" s="41" t="s">
        <v>25</v>
      </c>
      <c r="D9" s="33"/>
      <c r="E9" s="34"/>
      <c r="F9" s="34"/>
      <c r="G9" s="34"/>
      <c r="H9" s="34"/>
      <c r="I9" s="35">
        <f t="shared" si="0"/>
        <v>0</v>
      </c>
      <c r="J9" s="35">
        <f t="shared" si="1"/>
        <v>50</v>
      </c>
      <c r="K9" s="36">
        <f t="shared" si="2"/>
        <v>15</v>
      </c>
      <c r="L9" s="11"/>
      <c r="M9" s="11"/>
      <c r="N9" s="11"/>
      <c r="O9" s="11"/>
      <c r="P9" s="11"/>
      <c r="Q9" s="37">
        <f t="shared" si="3"/>
        <v>50</v>
      </c>
      <c r="R9" s="35">
        <f t="shared" si="4"/>
        <v>15</v>
      </c>
      <c r="S9" s="38"/>
      <c r="T9" s="39">
        <f t="array" ref="T9">(SUM(S9:S9/50)*50+50)</f>
        <v>50</v>
      </c>
      <c r="U9" s="35">
        <f t="shared" si="5"/>
        <v>20</v>
      </c>
      <c r="V9" s="40">
        <f t="shared" si="6"/>
        <v>50</v>
      </c>
    </row>
    <row r="10" spans="1:22" ht="14.4" x14ac:dyDescent="0.3">
      <c r="A10" s="31"/>
      <c r="B10" t="s">
        <v>64</v>
      </c>
      <c r="C10" t="s">
        <v>26</v>
      </c>
      <c r="D10" s="33"/>
      <c r="E10" s="34"/>
      <c r="F10" s="34"/>
      <c r="G10" s="34"/>
      <c r="H10" s="34"/>
      <c r="I10" s="35">
        <f t="shared" si="0"/>
        <v>0</v>
      </c>
      <c r="J10" s="35">
        <f t="shared" si="1"/>
        <v>50</v>
      </c>
      <c r="K10" s="36">
        <f t="shared" si="2"/>
        <v>15</v>
      </c>
      <c r="L10" s="11"/>
      <c r="M10" s="11"/>
      <c r="N10" s="11"/>
      <c r="O10" s="11"/>
      <c r="P10" s="11"/>
      <c r="Q10" s="37">
        <f t="shared" si="3"/>
        <v>50</v>
      </c>
      <c r="R10" s="35">
        <f t="shared" si="4"/>
        <v>15</v>
      </c>
      <c r="S10" s="38"/>
      <c r="T10" s="39">
        <f t="array" ref="T10">(SUM(S10:S10/50)*50+50)</f>
        <v>50</v>
      </c>
      <c r="U10" s="35">
        <f t="shared" si="5"/>
        <v>20</v>
      </c>
      <c r="V10" s="40">
        <f t="shared" si="6"/>
        <v>50</v>
      </c>
    </row>
    <row r="11" spans="1:22" ht="14.4" x14ac:dyDescent="0.3">
      <c r="A11" s="31"/>
      <c r="B11" t="s">
        <v>65</v>
      </c>
      <c r="C11" t="s">
        <v>27</v>
      </c>
      <c r="D11" s="33"/>
      <c r="E11" s="34"/>
      <c r="F11" s="34"/>
      <c r="G11" s="34"/>
      <c r="H11" s="34"/>
      <c r="I11" s="35">
        <f t="shared" si="0"/>
        <v>0</v>
      </c>
      <c r="J11" s="35">
        <f t="shared" si="1"/>
        <v>50</v>
      </c>
      <c r="K11" s="36">
        <f t="shared" si="2"/>
        <v>15</v>
      </c>
      <c r="L11" s="52"/>
      <c r="M11" s="52"/>
      <c r="N11" s="52"/>
      <c r="O11" s="52"/>
      <c r="P11" s="52"/>
      <c r="Q11" s="37">
        <f t="shared" si="3"/>
        <v>50</v>
      </c>
      <c r="R11" s="35">
        <f t="shared" si="4"/>
        <v>15</v>
      </c>
      <c r="S11" s="38"/>
      <c r="T11" s="39">
        <f t="array" ref="T11">(SUM(S11:S11/50)*50+50)</f>
        <v>50</v>
      </c>
      <c r="U11" s="35">
        <f t="shared" si="5"/>
        <v>20</v>
      </c>
      <c r="V11" s="40">
        <f t="shared" si="6"/>
        <v>50</v>
      </c>
    </row>
    <row r="12" spans="1:22" ht="15.75" customHeight="1" x14ac:dyDescent="0.3">
      <c r="A12" s="42"/>
      <c r="B12" t="s">
        <v>66</v>
      </c>
      <c r="C12" t="s">
        <v>28</v>
      </c>
      <c r="D12" s="33"/>
      <c r="E12" s="34"/>
      <c r="F12" s="34"/>
      <c r="G12" s="34"/>
      <c r="H12" s="34"/>
      <c r="I12" s="35">
        <f t="shared" si="0"/>
        <v>0</v>
      </c>
      <c r="J12" s="35">
        <f t="shared" si="1"/>
        <v>50</v>
      </c>
      <c r="K12" s="36">
        <f t="shared" si="2"/>
        <v>15</v>
      </c>
      <c r="L12" s="11"/>
      <c r="M12" s="11"/>
      <c r="N12" s="11"/>
      <c r="O12" s="11"/>
      <c r="P12" s="11"/>
      <c r="Q12" s="37">
        <f t="shared" si="3"/>
        <v>50</v>
      </c>
      <c r="R12" s="35">
        <f t="shared" si="4"/>
        <v>15</v>
      </c>
      <c r="S12" s="38"/>
      <c r="T12" s="39">
        <f t="array" ref="T12">(SUM(S12:S12/50)*50+50)</f>
        <v>50</v>
      </c>
      <c r="U12" s="35">
        <f t="shared" si="5"/>
        <v>20</v>
      </c>
      <c r="V12" s="40">
        <f t="shared" si="6"/>
        <v>50</v>
      </c>
    </row>
    <row r="13" spans="1:22" ht="15.75" customHeight="1" x14ac:dyDescent="0.3">
      <c r="A13" s="42"/>
      <c r="B13" t="s">
        <v>67</v>
      </c>
      <c r="C13" t="s">
        <v>29</v>
      </c>
      <c r="D13" s="33"/>
      <c r="E13" s="34"/>
      <c r="F13" s="34"/>
      <c r="G13" s="34"/>
      <c r="H13" s="34"/>
      <c r="I13" s="35">
        <f t="shared" si="0"/>
        <v>0</v>
      </c>
      <c r="J13" s="35">
        <f t="shared" si="1"/>
        <v>50</v>
      </c>
      <c r="K13" s="36">
        <f t="shared" si="2"/>
        <v>15</v>
      </c>
      <c r="L13" s="11"/>
      <c r="M13" s="11"/>
      <c r="N13" s="11"/>
      <c r="O13" s="11"/>
      <c r="P13" s="11"/>
      <c r="Q13" s="37">
        <f t="shared" si="3"/>
        <v>50</v>
      </c>
      <c r="R13" s="35">
        <f t="shared" si="4"/>
        <v>15</v>
      </c>
      <c r="S13" s="38"/>
      <c r="T13" s="39">
        <f t="array" ref="T13">(SUM(S13:S13/50)*50+50)</f>
        <v>50</v>
      </c>
      <c r="U13" s="35">
        <f t="shared" si="5"/>
        <v>20</v>
      </c>
      <c r="V13" s="40">
        <f t="shared" si="6"/>
        <v>50</v>
      </c>
    </row>
    <row r="14" spans="1:22" ht="24" customHeight="1" x14ac:dyDescent="0.3">
      <c r="A14" s="42"/>
      <c r="B14" t="s">
        <v>68</v>
      </c>
      <c r="C14" t="s">
        <v>30</v>
      </c>
      <c r="D14" s="33"/>
      <c r="E14" s="34"/>
      <c r="F14" s="34"/>
      <c r="G14" s="34"/>
      <c r="H14" s="34"/>
      <c r="I14" s="35">
        <f t="shared" si="0"/>
        <v>0</v>
      </c>
      <c r="J14" s="35">
        <f t="shared" si="1"/>
        <v>50</v>
      </c>
      <c r="K14" s="36">
        <f t="shared" si="2"/>
        <v>15</v>
      </c>
      <c r="L14" s="11"/>
      <c r="M14" s="11"/>
      <c r="N14" s="11"/>
      <c r="O14" s="11"/>
      <c r="P14" s="11"/>
      <c r="Q14" s="37">
        <f t="shared" si="3"/>
        <v>50</v>
      </c>
      <c r="R14" s="35">
        <f t="shared" si="4"/>
        <v>15</v>
      </c>
      <c r="S14" s="38"/>
      <c r="T14" s="39">
        <f t="array" ref="T14">(SUM(S14:S14/50)*50+50)</f>
        <v>50</v>
      </c>
      <c r="U14" s="35">
        <f t="shared" si="5"/>
        <v>20</v>
      </c>
      <c r="V14" s="40">
        <f t="shared" si="6"/>
        <v>50</v>
      </c>
    </row>
    <row r="15" spans="1:22" ht="15.75" customHeight="1" x14ac:dyDescent="0.3">
      <c r="A15" s="42"/>
      <c r="B15" t="s">
        <v>69</v>
      </c>
      <c r="C15" t="s">
        <v>31</v>
      </c>
      <c r="D15" s="33"/>
      <c r="E15" s="34"/>
      <c r="F15" s="34"/>
      <c r="G15" s="34"/>
      <c r="H15" s="34"/>
      <c r="I15" s="35">
        <f t="shared" si="0"/>
        <v>0</v>
      </c>
      <c r="J15" s="35">
        <f t="shared" si="1"/>
        <v>50</v>
      </c>
      <c r="K15" s="36">
        <f t="shared" si="2"/>
        <v>15</v>
      </c>
      <c r="L15" s="11"/>
      <c r="M15" s="11"/>
      <c r="N15" s="11"/>
      <c r="O15" s="11"/>
      <c r="P15" s="11"/>
      <c r="Q15" s="37">
        <f t="shared" si="3"/>
        <v>50</v>
      </c>
      <c r="R15" s="35">
        <f t="shared" si="4"/>
        <v>15</v>
      </c>
      <c r="S15" s="38"/>
      <c r="T15" s="39">
        <f t="array" ref="T15">(SUM(S15:S15/50)*50+50)</f>
        <v>50</v>
      </c>
      <c r="U15" s="35">
        <f t="shared" si="5"/>
        <v>20</v>
      </c>
      <c r="V15" s="40">
        <f t="shared" si="6"/>
        <v>50</v>
      </c>
    </row>
    <row r="16" spans="1:22" ht="15.75" customHeight="1" x14ac:dyDescent="0.3">
      <c r="A16" s="42"/>
      <c r="B16" t="s">
        <v>70</v>
      </c>
      <c r="C16" t="s">
        <v>32</v>
      </c>
      <c r="D16" s="33"/>
      <c r="E16" s="34"/>
      <c r="F16" s="34"/>
      <c r="G16" s="34"/>
      <c r="H16" s="34"/>
      <c r="I16" s="35">
        <f t="shared" si="0"/>
        <v>0</v>
      </c>
      <c r="J16" s="35">
        <f t="shared" si="1"/>
        <v>50</v>
      </c>
      <c r="K16" s="36">
        <f t="shared" si="2"/>
        <v>15</v>
      </c>
      <c r="L16" s="11"/>
      <c r="M16" s="11"/>
      <c r="N16" s="11"/>
      <c r="O16" s="11"/>
      <c r="P16" s="11"/>
      <c r="Q16" s="37">
        <f t="shared" si="3"/>
        <v>50</v>
      </c>
      <c r="R16" s="35">
        <f t="shared" si="4"/>
        <v>15</v>
      </c>
      <c r="S16" s="38"/>
      <c r="T16" s="39">
        <f t="array" ref="T16">(SUM(S16:S16/50)*50+50)</f>
        <v>50</v>
      </c>
      <c r="U16" s="35">
        <f t="shared" si="5"/>
        <v>20</v>
      </c>
      <c r="V16" s="40">
        <f t="shared" si="6"/>
        <v>50</v>
      </c>
    </row>
    <row r="17" spans="1:22" ht="15.75" customHeight="1" x14ac:dyDescent="0.3">
      <c r="A17" s="42"/>
      <c r="B17" t="s">
        <v>71</v>
      </c>
      <c r="C17" t="s">
        <v>33</v>
      </c>
      <c r="D17" s="33"/>
      <c r="E17" s="34"/>
      <c r="F17" s="34"/>
      <c r="G17" s="34"/>
      <c r="H17" s="34"/>
      <c r="I17" s="35">
        <f t="shared" si="0"/>
        <v>0</v>
      </c>
      <c r="J17" s="35">
        <f t="shared" si="1"/>
        <v>50</v>
      </c>
      <c r="K17" s="36">
        <f t="shared" si="2"/>
        <v>15</v>
      </c>
      <c r="L17" s="11"/>
      <c r="M17" s="11"/>
      <c r="N17" s="11"/>
      <c r="O17" s="11"/>
      <c r="P17" s="11"/>
      <c r="Q17" s="37">
        <f t="shared" si="3"/>
        <v>50</v>
      </c>
      <c r="R17" s="35">
        <f t="shared" si="4"/>
        <v>15</v>
      </c>
      <c r="S17" s="38"/>
      <c r="T17" s="39">
        <f t="array" ref="T17">(SUM(S17:S17/50)*50+50)</f>
        <v>50</v>
      </c>
      <c r="U17" s="35">
        <f t="shared" si="5"/>
        <v>20</v>
      </c>
      <c r="V17" s="40">
        <f t="shared" si="6"/>
        <v>50</v>
      </c>
    </row>
    <row r="18" spans="1:22" ht="15.75" customHeight="1" x14ac:dyDescent="0.3">
      <c r="A18" s="42"/>
      <c r="B18" t="s">
        <v>72</v>
      </c>
      <c r="C18" t="s">
        <v>34</v>
      </c>
      <c r="D18" s="33"/>
      <c r="E18" s="34"/>
      <c r="F18" s="34"/>
      <c r="G18" s="34"/>
      <c r="H18" s="34"/>
      <c r="I18" s="35">
        <f t="shared" si="0"/>
        <v>0</v>
      </c>
      <c r="J18" s="35">
        <f t="shared" si="1"/>
        <v>50</v>
      </c>
      <c r="K18" s="36">
        <f t="shared" si="2"/>
        <v>15</v>
      </c>
      <c r="L18" s="11"/>
      <c r="M18" s="11"/>
      <c r="N18" s="11"/>
      <c r="O18" s="11"/>
      <c r="P18" s="11"/>
      <c r="Q18" s="37">
        <f t="shared" si="3"/>
        <v>50</v>
      </c>
      <c r="R18" s="35">
        <f t="shared" si="4"/>
        <v>15</v>
      </c>
      <c r="S18" s="38"/>
      <c r="T18" s="39">
        <f t="array" ref="T18">(SUM(S18:S18/50)*50+50)</f>
        <v>50</v>
      </c>
      <c r="U18" s="35">
        <f t="shared" si="5"/>
        <v>20</v>
      </c>
      <c r="V18" s="40">
        <f t="shared" si="6"/>
        <v>50</v>
      </c>
    </row>
    <row r="19" spans="1:22" ht="15.75" customHeight="1" x14ac:dyDescent="0.3">
      <c r="A19" s="42"/>
      <c r="B19" t="s">
        <v>73</v>
      </c>
      <c r="C19" t="s">
        <v>35</v>
      </c>
      <c r="D19" s="33"/>
      <c r="E19" s="34"/>
      <c r="F19" s="34"/>
      <c r="G19" s="34"/>
      <c r="H19" s="34"/>
      <c r="I19" s="35">
        <f t="shared" si="0"/>
        <v>0</v>
      </c>
      <c r="J19" s="35">
        <f t="shared" si="1"/>
        <v>50</v>
      </c>
      <c r="K19" s="36">
        <f t="shared" si="2"/>
        <v>15</v>
      </c>
      <c r="L19" s="11"/>
      <c r="M19" s="11"/>
      <c r="N19" s="11"/>
      <c r="O19" s="11"/>
      <c r="P19" s="11"/>
      <c r="Q19" s="37">
        <f t="shared" si="3"/>
        <v>50</v>
      </c>
      <c r="R19" s="35">
        <f t="shared" si="4"/>
        <v>15</v>
      </c>
      <c r="S19" s="38"/>
      <c r="T19" s="39">
        <f t="array" ref="T19">(SUM(S19:S19/50)*50+50)</f>
        <v>50</v>
      </c>
      <c r="U19" s="35">
        <f t="shared" si="5"/>
        <v>20</v>
      </c>
      <c r="V19" s="40">
        <f t="shared" si="6"/>
        <v>50</v>
      </c>
    </row>
    <row r="20" spans="1:22" ht="15.75" customHeight="1" x14ac:dyDescent="0.3">
      <c r="A20" s="42"/>
      <c r="B20" t="s">
        <v>74</v>
      </c>
      <c r="C20" t="s">
        <v>36</v>
      </c>
      <c r="D20" s="33"/>
      <c r="E20" s="34"/>
      <c r="F20" s="34"/>
      <c r="G20" s="34"/>
      <c r="H20" s="34"/>
      <c r="I20" s="35">
        <f t="shared" si="0"/>
        <v>0</v>
      </c>
      <c r="J20" s="35">
        <f t="shared" si="1"/>
        <v>50</v>
      </c>
      <c r="K20" s="36">
        <f t="shared" si="2"/>
        <v>15</v>
      </c>
      <c r="L20" s="11"/>
      <c r="M20" s="11"/>
      <c r="N20" s="11"/>
      <c r="O20" s="11"/>
      <c r="P20" s="11"/>
      <c r="Q20" s="37">
        <f t="shared" si="3"/>
        <v>50</v>
      </c>
      <c r="R20" s="35">
        <f t="shared" si="4"/>
        <v>15</v>
      </c>
      <c r="S20" s="38"/>
      <c r="T20" s="39">
        <f t="array" ref="T20">(SUM(S20:S20/50)*50+50)</f>
        <v>50</v>
      </c>
      <c r="U20" s="35">
        <f t="shared" si="5"/>
        <v>20</v>
      </c>
      <c r="V20" s="40">
        <f t="shared" si="6"/>
        <v>50</v>
      </c>
    </row>
    <row r="21" spans="1:22" ht="15.75" customHeight="1" x14ac:dyDescent="0.3">
      <c r="A21" s="42"/>
      <c r="B21" t="s">
        <v>75</v>
      </c>
      <c r="C21" t="s">
        <v>37</v>
      </c>
      <c r="D21" s="33"/>
      <c r="E21" s="34"/>
      <c r="F21" s="34"/>
      <c r="G21" s="34"/>
      <c r="H21" s="34"/>
      <c r="I21" s="35">
        <f t="shared" si="0"/>
        <v>0</v>
      </c>
      <c r="J21" s="35">
        <f t="shared" si="1"/>
        <v>50</v>
      </c>
      <c r="K21" s="36">
        <f t="shared" si="2"/>
        <v>15</v>
      </c>
      <c r="L21" s="11"/>
      <c r="M21" s="11"/>
      <c r="N21" s="11"/>
      <c r="O21" s="11"/>
      <c r="P21" s="11"/>
      <c r="Q21" s="37">
        <f t="shared" si="3"/>
        <v>50</v>
      </c>
      <c r="R21" s="35">
        <f t="shared" si="4"/>
        <v>15</v>
      </c>
      <c r="S21" s="38"/>
      <c r="T21" s="39">
        <f t="array" ref="T21">(SUM(S21:S21/50)*50+50)</f>
        <v>50</v>
      </c>
      <c r="U21" s="35">
        <f t="shared" si="5"/>
        <v>20</v>
      </c>
      <c r="V21" s="40">
        <f t="shared" si="6"/>
        <v>50</v>
      </c>
    </row>
    <row r="22" spans="1:22" ht="25.2" customHeight="1" x14ac:dyDescent="0.3">
      <c r="A22" s="42"/>
      <c r="B22" t="s">
        <v>76</v>
      </c>
      <c r="C22" t="s">
        <v>38</v>
      </c>
      <c r="D22" s="33"/>
      <c r="E22" s="34"/>
      <c r="F22" s="34"/>
      <c r="G22" s="34"/>
      <c r="H22" s="34"/>
      <c r="I22" s="35">
        <f t="shared" si="0"/>
        <v>0</v>
      </c>
      <c r="J22" s="35">
        <f t="shared" si="1"/>
        <v>50</v>
      </c>
      <c r="K22" s="36">
        <f t="shared" si="2"/>
        <v>15</v>
      </c>
      <c r="L22" s="11"/>
      <c r="M22" s="11"/>
      <c r="N22" s="11"/>
      <c r="O22" s="11"/>
      <c r="P22" s="11"/>
      <c r="Q22" s="37">
        <f t="shared" si="3"/>
        <v>50</v>
      </c>
      <c r="R22" s="35">
        <f t="shared" si="4"/>
        <v>15</v>
      </c>
      <c r="S22" s="38"/>
      <c r="T22" s="39">
        <f t="array" ref="T22">(SUM(S22:S22/50)*50+50)</f>
        <v>50</v>
      </c>
      <c r="U22" s="35">
        <f t="shared" si="5"/>
        <v>20</v>
      </c>
      <c r="V22" s="40">
        <f t="shared" si="6"/>
        <v>50</v>
      </c>
    </row>
    <row r="23" spans="1:22" ht="15.75" customHeight="1" x14ac:dyDescent="0.3">
      <c r="A23" s="42"/>
      <c r="B23" t="s">
        <v>77</v>
      </c>
      <c r="C23" t="s">
        <v>39</v>
      </c>
      <c r="D23" s="33"/>
      <c r="E23" s="34"/>
      <c r="F23" s="34"/>
      <c r="G23" s="34"/>
      <c r="H23" s="34"/>
      <c r="I23" s="35">
        <f t="shared" si="0"/>
        <v>0</v>
      </c>
      <c r="J23" s="35">
        <f t="shared" si="1"/>
        <v>50</v>
      </c>
      <c r="K23" s="36">
        <f t="shared" si="2"/>
        <v>15</v>
      </c>
      <c r="L23" s="11"/>
      <c r="M23" s="11"/>
      <c r="N23" s="11"/>
      <c r="O23" s="11"/>
      <c r="P23" s="11"/>
      <c r="Q23" s="37">
        <f t="shared" si="3"/>
        <v>50</v>
      </c>
      <c r="R23" s="35">
        <f t="shared" si="4"/>
        <v>15</v>
      </c>
      <c r="S23" s="38"/>
      <c r="T23" s="39">
        <f t="array" ref="T23">(SUM(S23:S23/50)*50+50)</f>
        <v>50</v>
      </c>
      <c r="U23" s="35">
        <f t="shared" si="5"/>
        <v>20</v>
      </c>
      <c r="V23" s="40">
        <f t="shared" si="6"/>
        <v>50</v>
      </c>
    </row>
    <row r="24" spans="1:22" ht="15.75" customHeight="1" x14ac:dyDescent="0.3">
      <c r="A24" s="42"/>
      <c r="B24" t="s">
        <v>78</v>
      </c>
      <c r="C24" t="s">
        <v>40</v>
      </c>
      <c r="D24" s="33"/>
      <c r="E24" s="34"/>
      <c r="F24" s="34"/>
      <c r="G24" s="34"/>
      <c r="H24" s="34"/>
      <c r="I24" s="35">
        <f t="shared" si="0"/>
        <v>0</v>
      </c>
      <c r="J24" s="35">
        <f t="shared" si="1"/>
        <v>50</v>
      </c>
      <c r="K24" s="36">
        <f t="shared" si="2"/>
        <v>15</v>
      </c>
      <c r="L24" s="11"/>
      <c r="M24" s="11"/>
      <c r="N24" s="11"/>
      <c r="O24" s="11"/>
      <c r="P24" s="11"/>
      <c r="Q24" s="37">
        <f t="shared" si="3"/>
        <v>50</v>
      </c>
      <c r="R24" s="35">
        <f t="shared" si="4"/>
        <v>15</v>
      </c>
      <c r="S24" s="38"/>
      <c r="T24" s="39">
        <f t="array" ref="T24">(SUM(S24:S24/50)*50+50)</f>
        <v>50</v>
      </c>
      <c r="U24" s="35">
        <f t="shared" si="5"/>
        <v>20</v>
      </c>
      <c r="V24" s="40">
        <f t="shared" si="6"/>
        <v>50</v>
      </c>
    </row>
    <row r="25" spans="1:22" ht="15.75" customHeight="1" x14ac:dyDescent="0.3">
      <c r="A25" s="42"/>
      <c r="B25" t="s">
        <v>79</v>
      </c>
      <c r="C25" t="s">
        <v>41</v>
      </c>
      <c r="D25" s="32"/>
      <c r="E25" s="34"/>
      <c r="F25" s="34"/>
      <c r="G25" s="34"/>
      <c r="H25" s="34"/>
      <c r="I25" s="35">
        <f t="shared" si="0"/>
        <v>0</v>
      </c>
      <c r="J25" s="35">
        <f t="shared" si="1"/>
        <v>50</v>
      </c>
      <c r="K25" s="36">
        <f t="shared" si="2"/>
        <v>15</v>
      </c>
      <c r="L25" s="11"/>
      <c r="M25" s="11"/>
      <c r="N25" s="11"/>
      <c r="O25" s="11"/>
      <c r="P25" s="11"/>
      <c r="Q25" s="37">
        <f t="shared" si="3"/>
        <v>50</v>
      </c>
      <c r="R25" s="35">
        <f t="shared" si="4"/>
        <v>15</v>
      </c>
      <c r="S25" s="38"/>
      <c r="T25" s="39">
        <f t="array" ref="T25">(SUM(S25:S25/50)*50+50)</f>
        <v>50</v>
      </c>
      <c r="U25" s="35">
        <f t="shared" si="5"/>
        <v>20</v>
      </c>
      <c r="V25" s="40">
        <f t="shared" si="6"/>
        <v>50</v>
      </c>
    </row>
    <row r="26" spans="1:22" ht="15.75" customHeight="1" x14ac:dyDescent="0.3">
      <c r="A26" s="42"/>
      <c r="B26" t="s">
        <v>80</v>
      </c>
      <c r="C26" t="s">
        <v>42</v>
      </c>
      <c r="D26" s="33"/>
      <c r="E26" s="34"/>
      <c r="F26" s="34"/>
      <c r="G26" s="34"/>
      <c r="H26" s="34"/>
      <c r="I26" s="35">
        <f t="shared" si="0"/>
        <v>0</v>
      </c>
      <c r="J26" s="35">
        <f t="shared" si="1"/>
        <v>50</v>
      </c>
      <c r="K26" s="36">
        <f t="shared" si="2"/>
        <v>15</v>
      </c>
      <c r="L26" s="43"/>
      <c r="M26" s="43"/>
      <c r="N26" s="43"/>
      <c r="O26" s="43"/>
      <c r="P26" s="11"/>
      <c r="Q26" s="37">
        <f t="shared" si="3"/>
        <v>50</v>
      </c>
      <c r="R26" s="35">
        <f t="shared" si="4"/>
        <v>15</v>
      </c>
      <c r="S26" s="38"/>
      <c r="T26" s="39">
        <f t="array" ref="T26">(SUM(S26:S26/50)*50+50)</f>
        <v>50</v>
      </c>
      <c r="U26" s="35">
        <f t="shared" si="5"/>
        <v>20</v>
      </c>
      <c r="V26" s="40">
        <f t="shared" si="6"/>
        <v>50</v>
      </c>
    </row>
    <row r="27" spans="1:22" ht="24" customHeight="1" x14ac:dyDescent="0.3">
      <c r="A27" s="42"/>
      <c r="B27" t="s">
        <v>81</v>
      </c>
      <c r="C27" t="s">
        <v>43</v>
      </c>
      <c r="D27" s="33"/>
      <c r="E27" s="34"/>
      <c r="F27" s="34"/>
      <c r="G27" s="34"/>
      <c r="H27" s="34"/>
      <c r="I27" s="35">
        <f t="shared" si="0"/>
        <v>0</v>
      </c>
      <c r="J27" s="35">
        <f t="shared" si="1"/>
        <v>50</v>
      </c>
      <c r="K27" s="36">
        <f t="shared" si="2"/>
        <v>15</v>
      </c>
      <c r="L27" s="11"/>
      <c r="M27" s="11"/>
      <c r="N27" s="11"/>
      <c r="O27" s="11"/>
      <c r="P27" s="11"/>
      <c r="Q27" s="37">
        <f t="shared" si="3"/>
        <v>50</v>
      </c>
      <c r="R27" s="35">
        <f t="shared" si="4"/>
        <v>15</v>
      </c>
      <c r="S27" s="38"/>
      <c r="T27" s="39">
        <f t="array" ref="T27">(SUM(S27:S27/50)*50+50)</f>
        <v>50</v>
      </c>
      <c r="U27" s="35">
        <f t="shared" si="5"/>
        <v>20</v>
      </c>
      <c r="V27" s="40">
        <f t="shared" si="6"/>
        <v>50</v>
      </c>
    </row>
    <row r="28" spans="1:22" ht="15.75" customHeight="1" x14ac:dyDescent="0.3">
      <c r="A28" s="42"/>
      <c r="B28" t="s">
        <v>82</v>
      </c>
      <c r="C28" t="s">
        <v>44</v>
      </c>
      <c r="D28" s="32"/>
      <c r="E28" s="34"/>
      <c r="F28" s="34"/>
      <c r="G28" s="34"/>
      <c r="H28" s="34"/>
      <c r="I28" s="35">
        <f t="shared" si="0"/>
        <v>0</v>
      </c>
      <c r="J28" s="35">
        <f t="shared" si="1"/>
        <v>50</v>
      </c>
      <c r="K28" s="36">
        <f t="shared" si="2"/>
        <v>15</v>
      </c>
      <c r="L28" s="11"/>
      <c r="M28" s="11"/>
      <c r="N28" s="11"/>
      <c r="O28" s="11"/>
      <c r="P28" s="11"/>
      <c r="Q28" s="37">
        <f t="shared" si="3"/>
        <v>50</v>
      </c>
      <c r="R28" s="35">
        <f t="shared" si="4"/>
        <v>15</v>
      </c>
      <c r="S28" s="38"/>
      <c r="T28" s="39">
        <f t="array" ref="T28">(SUM(S28:S28/50)*50+50)</f>
        <v>50</v>
      </c>
      <c r="U28" s="35">
        <f t="shared" si="5"/>
        <v>20</v>
      </c>
      <c r="V28" s="40">
        <f t="shared" si="6"/>
        <v>50</v>
      </c>
    </row>
    <row r="29" spans="1:22" ht="15.6" customHeight="1" x14ac:dyDescent="0.3">
      <c r="A29" s="42"/>
      <c r="B29" t="s">
        <v>83</v>
      </c>
      <c r="C29" t="s">
        <v>45</v>
      </c>
      <c r="D29" s="51"/>
      <c r="E29" s="34"/>
      <c r="F29" s="34"/>
      <c r="G29" s="34"/>
      <c r="H29" s="34"/>
      <c r="I29" s="35">
        <f t="shared" si="0"/>
        <v>0</v>
      </c>
      <c r="J29" s="35">
        <f t="shared" si="1"/>
        <v>50</v>
      </c>
      <c r="K29" s="36">
        <f t="shared" si="2"/>
        <v>15</v>
      </c>
      <c r="L29" s="52"/>
      <c r="M29" s="52"/>
      <c r="N29" s="52"/>
      <c r="O29" s="52"/>
      <c r="P29" s="52"/>
      <c r="Q29" s="37">
        <f t="shared" si="3"/>
        <v>50</v>
      </c>
      <c r="R29" s="35">
        <f t="shared" si="4"/>
        <v>15</v>
      </c>
      <c r="S29" s="38"/>
      <c r="T29" s="39">
        <f t="array" ref="T29">(SUM(S29:S29/50)*50+50)</f>
        <v>50</v>
      </c>
      <c r="U29" s="35">
        <f t="shared" si="5"/>
        <v>20</v>
      </c>
      <c r="V29" s="40">
        <f t="shared" si="6"/>
        <v>50</v>
      </c>
    </row>
    <row r="30" spans="1:22" ht="15.75" customHeight="1" x14ac:dyDescent="0.3">
      <c r="A30" s="42"/>
      <c r="B30" t="s">
        <v>84</v>
      </c>
      <c r="C30" t="s">
        <v>46</v>
      </c>
      <c r="D30" s="33"/>
      <c r="E30" s="34"/>
      <c r="F30" s="34"/>
      <c r="G30" s="34"/>
      <c r="H30" s="34"/>
      <c r="I30" s="35">
        <f t="shared" si="0"/>
        <v>0</v>
      </c>
      <c r="J30" s="35">
        <f t="shared" si="1"/>
        <v>50</v>
      </c>
      <c r="K30" s="36">
        <f t="shared" si="2"/>
        <v>15</v>
      </c>
      <c r="L30" s="11"/>
      <c r="M30" s="11"/>
      <c r="N30" s="11"/>
      <c r="O30" s="11"/>
      <c r="P30" s="11"/>
      <c r="Q30" s="37">
        <f t="shared" si="3"/>
        <v>50</v>
      </c>
      <c r="R30" s="35">
        <f t="shared" si="4"/>
        <v>15</v>
      </c>
      <c r="S30" s="38"/>
      <c r="T30" s="39">
        <f t="array" ref="T30">(SUM(S30:S30/50)*50+50)</f>
        <v>50</v>
      </c>
      <c r="U30" s="35">
        <f t="shared" si="5"/>
        <v>20</v>
      </c>
      <c r="V30" s="40">
        <f t="shared" si="6"/>
        <v>50</v>
      </c>
    </row>
    <row r="31" spans="1:22" ht="15.75" customHeight="1" x14ac:dyDescent="0.3">
      <c r="B31" t="s">
        <v>85</v>
      </c>
      <c r="C31" t="s">
        <v>47</v>
      </c>
      <c r="D31" s="33"/>
      <c r="E31" s="34"/>
      <c r="F31" s="34"/>
      <c r="G31" s="34"/>
      <c r="H31" s="34"/>
      <c r="I31" s="35">
        <f t="shared" ref="I31:I38" si="7">SUM(D31:H31)</f>
        <v>0</v>
      </c>
      <c r="J31" s="35">
        <f t="shared" ref="J31:J38" si="8">(I31/340)*50+50</f>
        <v>50</v>
      </c>
      <c r="K31" s="36">
        <f t="shared" ref="K31:K38" si="9">J31*30%</f>
        <v>15</v>
      </c>
      <c r="L31" s="11"/>
      <c r="M31" s="11"/>
      <c r="N31" s="11"/>
      <c r="O31" s="11"/>
      <c r="P31" s="11"/>
      <c r="Q31" s="37">
        <f t="shared" ref="Q31:Q38" si="10">(((SUM(L31:P31))/50)*50+50)</f>
        <v>50</v>
      </c>
      <c r="R31" s="35">
        <f t="shared" ref="R31:R38" si="11">Q31*30%</f>
        <v>15</v>
      </c>
      <c r="S31" s="38"/>
      <c r="T31" s="39">
        <f t="array" ref="T31">(SUM(S31:S31/50)*50+50)</f>
        <v>50</v>
      </c>
      <c r="U31" s="35">
        <f t="shared" ref="U31:U38" si="12">T31*40%</f>
        <v>20</v>
      </c>
      <c r="V31" s="40">
        <f t="shared" ref="V31:V38" si="13">K31+R31+U31</f>
        <v>50</v>
      </c>
    </row>
    <row r="32" spans="1:22" ht="15.75" customHeight="1" x14ac:dyDescent="0.3">
      <c r="B32" t="s">
        <v>86</v>
      </c>
      <c r="C32" t="s">
        <v>48</v>
      </c>
      <c r="D32" s="33"/>
      <c r="E32" s="34"/>
      <c r="F32" s="34"/>
      <c r="G32" s="34"/>
      <c r="H32" s="34"/>
      <c r="I32" s="35">
        <f t="shared" si="7"/>
        <v>0</v>
      </c>
      <c r="J32" s="35">
        <f t="shared" si="8"/>
        <v>50</v>
      </c>
      <c r="K32" s="36">
        <f t="shared" si="9"/>
        <v>15</v>
      </c>
      <c r="L32" s="11"/>
      <c r="M32" s="11"/>
      <c r="N32" s="11"/>
      <c r="O32" s="11"/>
      <c r="P32" s="11"/>
      <c r="Q32" s="37">
        <f t="shared" si="10"/>
        <v>50</v>
      </c>
      <c r="R32" s="35">
        <f t="shared" si="11"/>
        <v>15</v>
      </c>
      <c r="S32" s="38"/>
      <c r="T32" s="39">
        <f t="array" ref="T32">(SUM(S32:S32/50)*50+50)</f>
        <v>50</v>
      </c>
      <c r="U32" s="35">
        <f t="shared" si="12"/>
        <v>20</v>
      </c>
      <c r="V32" s="40">
        <f t="shared" si="13"/>
        <v>50</v>
      </c>
    </row>
    <row r="33" spans="2:22" ht="15.75" customHeight="1" x14ac:dyDescent="0.3">
      <c r="B33" t="s">
        <v>87</v>
      </c>
      <c r="C33" t="s">
        <v>49</v>
      </c>
      <c r="D33" s="33"/>
      <c r="E33" s="34"/>
      <c r="F33" s="34"/>
      <c r="G33" s="34"/>
      <c r="H33" s="34"/>
      <c r="I33" s="35">
        <f t="shared" si="7"/>
        <v>0</v>
      </c>
      <c r="J33" s="35">
        <f t="shared" si="8"/>
        <v>50</v>
      </c>
      <c r="K33" s="36">
        <f t="shared" si="9"/>
        <v>15</v>
      </c>
      <c r="L33" s="11"/>
      <c r="M33" s="11"/>
      <c r="N33" s="11"/>
      <c r="O33" s="11"/>
      <c r="P33" s="11"/>
      <c r="Q33" s="37">
        <f t="shared" si="10"/>
        <v>50</v>
      </c>
      <c r="R33" s="35">
        <f t="shared" si="11"/>
        <v>15</v>
      </c>
      <c r="S33" s="38"/>
      <c r="T33" s="39">
        <f t="array" ref="T33">(SUM(S33:S33/50)*50+50)</f>
        <v>50</v>
      </c>
      <c r="U33" s="35">
        <f t="shared" si="12"/>
        <v>20</v>
      </c>
      <c r="V33" s="40">
        <f t="shared" si="13"/>
        <v>50</v>
      </c>
    </row>
    <row r="34" spans="2:22" ht="15.75" customHeight="1" x14ac:dyDescent="0.3">
      <c r="B34" t="s">
        <v>88</v>
      </c>
      <c r="C34" t="s">
        <v>50</v>
      </c>
      <c r="D34" s="33"/>
      <c r="E34" s="34"/>
      <c r="F34" s="34"/>
      <c r="G34" s="34"/>
      <c r="H34" s="34"/>
      <c r="I34" s="35">
        <f t="shared" si="7"/>
        <v>0</v>
      </c>
      <c r="J34" s="35">
        <f t="shared" si="8"/>
        <v>50</v>
      </c>
      <c r="K34" s="36">
        <f t="shared" si="9"/>
        <v>15</v>
      </c>
      <c r="L34" s="11"/>
      <c r="M34" s="11"/>
      <c r="N34" s="11"/>
      <c r="O34" s="11"/>
      <c r="P34" s="11"/>
      <c r="Q34" s="37">
        <f t="shared" si="10"/>
        <v>50</v>
      </c>
      <c r="R34" s="35">
        <f t="shared" si="11"/>
        <v>15</v>
      </c>
      <c r="S34" s="38"/>
      <c r="T34" s="39">
        <f t="array" ref="T34">(SUM(S34:S34/50)*50+50)</f>
        <v>50</v>
      </c>
      <c r="U34" s="35">
        <f t="shared" si="12"/>
        <v>20</v>
      </c>
      <c r="V34" s="40">
        <f t="shared" si="13"/>
        <v>50</v>
      </c>
    </row>
    <row r="35" spans="2:22" ht="15.75" customHeight="1" x14ac:dyDescent="0.3">
      <c r="B35" t="s">
        <v>89</v>
      </c>
      <c r="C35" t="s">
        <v>51</v>
      </c>
      <c r="D35" s="33"/>
      <c r="E35" s="34"/>
      <c r="F35" s="34"/>
      <c r="G35" s="34"/>
      <c r="H35" s="34"/>
      <c r="I35" s="35">
        <f t="shared" si="7"/>
        <v>0</v>
      </c>
      <c r="J35" s="35">
        <f t="shared" si="8"/>
        <v>50</v>
      </c>
      <c r="K35" s="36">
        <f t="shared" si="9"/>
        <v>15</v>
      </c>
      <c r="L35" s="11"/>
      <c r="M35" s="11"/>
      <c r="N35" s="11"/>
      <c r="O35" s="11"/>
      <c r="P35" s="11"/>
      <c r="Q35" s="37">
        <f t="shared" si="10"/>
        <v>50</v>
      </c>
      <c r="R35" s="35">
        <f t="shared" si="11"/>
        <v>15</v>
      </c>
      <c r="S35" s="38"/>
      <c r="T35" s="39">
        <f t="array" ref="T35">(SUM(S35:S35/50)*50+50)</f>
        <v>50</v>
      </c>
      <c r="U35" s="35">
        <f t="shared" si="12"/>
        <v>20</v>
      </c>
      <c r="V35" s="40">
        <f t="shared" si="13"/>
        <v>50</v>
      </c>
    </row>
    <row r="36" spans="2:22" ht="15.75" customHeight="1" x14ac:dyDescent="0.3">
      <c r="B36" t="s">
        <v>90</v>
      </c>
      <c r="C36" t="s">
        <v>52</v>
      </c>
      <c r="D36" s="33"/>
      <c r="E36" s="34"/>
      <c r="F36" s="34"/>
      <c r="G36" s="34"/>
      <c r="H36" s="34"/>
      <c r="I36" s="35">
        <f t="shared" si="7"/>
        <v>0</v>
      </c>
      <c r="J36" s="35">
        <f t="shared" si="8"/>
        <v>50</v>
      </c>
      <c r="K36" s="36">
        <f t="shared" si="9"/>
        <v>15</v>
      </c>
      <c r="L36" s="11"/>
      <c r="M36" s="11"/>
      <c r="N36" s="11"/>
      <c r="O36" s="11"/>
      <c r="P36" s="11"/>
      <c r="Q36" s="37">
        <f t="shared" si="10"/>
        <v>50</v>
      </c>
      <c r="R36" s="35">
        <f t="shared" si="11"/>
        <v>15</v>
      </c>
      <c r="S36" s="38"/>
      <c r="T36" s="39">
        <f t="array" ref="T36">(SUM(S36:S36/50)*50+50)</f>
        <v>50</v>
      </c>
      <c r="U36" s="35">
        <f t="shared" si="12"/>
        <v>20</v>
      </c>
      <c r="V36" s="40">
        <f t="shared" si="13"/>
        <v>50</v>
      </c>
    </row>
    <row r="37" spans="2:22" ht="15.75" customHeight="1" x14ac:dyDescent="0.3">
      <c r="B37" t="s">
        <v>91</v>
      </c>
      <c r="C37" t="s">
        <v>53</v>
      </c>
      <c r="D37" s="33"/>
      <c r="E37" s="34"/>
      <c r="F37" s="34"/>
      <c r="G37" s="34"/>
      <c r="H37" s="34"/>
      <c r="I37" s="35">
        <f t="shared" si="7"/>
        <v>0</v>
      </c>
      <c r="J37" s="35">
        <f t="shared" si="8"/>
        <v>50</v>
      </c>
      <c r="K37" s="36">
        <f t="shared" si="9"/>
        <v>15</v>
      </c>
      <c r="L37" s="11"/>
      <c r="M37" s="11"/>
      <c r="N37" s="11"/>
      <c r="O37" s="11"/>
      <c r="P37" s="11"/>
      <c r="Q37" s="37">
        <f t="shared" si="10"/>
        <v>50</v>
      </c>
      <c r="R37" s="35">
        <f t="shared" si="11"/>
        <v>15</v>
      </c>
      <c r="S37" s="38"/>
      <c r="T37" s="39">
        <f t="array" ref="T37">(SUM(S37:S37/50)*50+50)</f>
        <v>50</v>
      </c>
      <c r="U37" s="35">
        <f t="shared" si="12"/>
        <v>20</v>
      </c>
      <c r="V37" s="40">
        <f t="shared" si="13"/>
        <v>50</v>
      </c>
    </row>
    <row r="38" spans="2:22" ht="15.75" customHeight="1" x14ac:dyDescent="0.3">
      <c r="B38" t="s">
        <v>92</v>
      </c>
      <c r="C38" t="s">
        <v>54</v>
      </c>
      <c r="D38" s="33"/>
      <c r="E38" s="34"/>
      <c r="F38" s="34"/>
      <c r="G38" s="34"/>
      <c r="H38" s="34"/>
      <c r="I38" s="35">
        <f t="shared" si="7"/>
        <v>0</v>
      </c>
      <c r="J38" s="35">
        <f t="shared" si="8"/>
        <v>50</v>
      </c>
      <c r="K38" s="36">
        <f t="shared" si="9"/>
        <v>15</v>
      </c>
      <c r="L38" s="11"/>
      <c r="M38" s="11"/>
      <c r="N38" s="11"/>
      <c r="O38" s="11"/>
      <c r="P38" s="11"/>
      <c r="Q38" s="37">
        <f t="shared" si="10"/>
        <v>50</v>
      </c>
      <c r="R38" s="35">
        <f t="shared" si="11"/>
        <v>15</v>
      </c>
      <c r="S38" s="38"/>
      <c r="T38" s="39">
        <f t="array" ref="T38">(SUM(S38:S38/50)*50+50)</f>
        <v>50</v>
      </c>
      <c r="U38" s="35">
        <f t="shared" si="12"/>
        <v>20</v>
      </c>
      <c r="V38" s="40">
        <f t="shared" si="13"/>
        <v>50</v>
      </c>
    </row>
    <row r="39" spans="2:22" ht="15.75" customHeight="1" x14ac:dyDescent="0.3">
      <c r="B39" t="s">
        <v>93</v>
      </c>
      <c r="C39" t="s">
        <v>55</v>
      </c>
      <c r="D39" s="33"/>
      <c r="E39" s="34"/>
      <c r="F39" s="34"/>
      <c r="G39" s="34"/>
      <c r="H39" s="34"/>
      <c r="I39" s="35">
        <f t="shared" ref="I39" si="14">SUM(D39:H39)</f>
        <v>0</v>
      </c>
      <c r="J39" s="35">
        <f t="shared" ref="J39" si="15">(I39/340)*50+50</f>
        <v>50</v>
      </c>
      <c r="K39" s="36">
        <f t="shared" ref="K39" si="16">J39*30%</f>
        <v>15</v>
      </c>
      <c r="L39" s="11"/>
      <c r="M39" s="11"/>
      <c r="N39" s="11"/>
      <c r="O39" s="11"/>
      <c r="P39" s="11"/>
      <c r="Q39" s="37">
        <f t="shared" ref="Q39" si="17">(((SUM(L39:P39))/50)*50+50)</f>
        <v>50</v>
      </c>
      <c r="R39" s="35">
        <f t="shared" ref="R39" si="18">Q39*30%</f>
        <v>15</v>
      </c>
      <c r="S39" s="38"/>
      <c r="T39" s="39">
        <f t="array" ref="T39">(SUM(S39:S39/50)*50+50)</f>
        <v>50</v>
      </c>
      <c r="U39" s="35">
        <f t="shared" ref="U39" si="19">T39*40%</f>
        <v>20</v>
      </c>
      <c r="V39" s="40">
        <f t="shared" ref="V39" si="20">K39+R39+U39</f>
        <v>50</v>
      </c>
    </row>
    <row r="40" spans="2:22" ht="15.75" customHeight="1" x14ac:dyDescent="0.3">
      <c r="B40" t="s">
        <v>94</v>
      </c>
      <c r="C40" t="s">
        <v>56</v>
      </c>
      <c r="D40" s="33"/>
      <c r="E40" s="34"/>
      <c r="F40" s="34"/>
      <c r="G40" s="34"/>
      <c r="H40" s="34"/>
      <c r="I40" s="35">
        <f t="shared" ref="I40" si="21">SUM(D40:H40)</f>
        <v>0</v>
      </c>
      <c r="J40" s="35">
        <f t="shared" ref="J40" si="22">(I40/340)*50+50</f>
        <v>50</v>
      </c>
      <c r="K40" s="36">
        <f t="shared" ref="K40" si="23">J40*30%</f>
        <v>15</v>
      </c>
      <c r="L40" s="11"/>
      <c r="M40" s="11"/>
      <c r="N40" s="11"/>
      <c r="O40" s="11"/>
      <c r="P40" s="11"/>
      <c r="Q40" s="37">
        <f t="shared" ref="Q40" si="24">(((SUM(L40:P40))/50)*50+50)</f>
        <v>50</v>
      </c>
      <c r="R40" s="35">
        <f t="shared" ref="R40" si="25">Q40*30%</f>
        <v>15</v>
      </c>
      <c r="S40" s="38"/>
      <c r="T40" s="39">
        <f t="array" ref="T40">(SUM(S40:S40/50)*50+50)</f>
        <v>50</v>
      </c>
      <c r="U40" s="35">
        <f t="shared" ref="U40" si="26">T40*40%</f>
        <v>20</v>
      </c>
      <c r="V40" s="40">
        <f t="shared" ref="V40" si="27">K40+R40+U40</f>
        <v>50</v>
      </c>
    </row>
    <row r="41" spans="2:22" ht="15.75" customHeight="1" x14ac:dyDescent="0.3"/>
    <row r="42" spans="2:22" ht="15.75" customHeight="1" x14ac:dyDescent="0.3"/>
    <row r="43" spans="2:22" ht="15.75" customHeight="1" x14ac:dyDescent="0.3"/>
    <row r="44" spans="2:22" ht="15.75" customHeight="1" x14ac:dyDescent="0.3"/>
    <row r="45" spans="2:22" ht="15.75" customHeight="1" x14ac:dyDescent="0.3"/>
    <row r="46" spans="2:22" ht="15.75" customHeight="1" x14ac:dyDescent="0.3"/>
    <row r="47" spans="2:22" ht="15.75" customHeight="1" x14ac:dyDescent="0.3"/>
    <row r="48" spans="2:2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D1:V1"/>
  </mergeCells>
  <phoneticPr fontId="1" type="noConversion"/>
  <pageMargins left="0.7" right="0.7" top="0.75" bottom="0.75" header="0" footer="0"/>
  <pageSetup paperSize="14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994"/>
  <sheetViews>
    <sheetView tabSelected="1" topLeftCell="B12" zoomScale="89" zoomScaleNormal="89" workbookViewId="0">
      <selection activeCell="B33" sqref="B33"/>
    </sheetView>
  </sheetViews>
  <sheetFormatPr defaultColWidth="14.44140625" defaultRowHeight="15" customHeight="1" x14ac:dyDescent="0.3"/>
  <cols>
    <col min="1" max="1" width="13.44140625" hidden="1" customWidth="1"/>
    <col min="2" max="2" width="13.44140625" customWidth="1"/>
    <col min="3" max="3" width="36.88671875" customWidth="1"/>
    <col min="4" max="5" width="5.21875" customWidth="1"/>
    <col min="6" max="6" width="12.33203125" customWidth="1"/>
    <col min="7" max="7" width="11.88671875" customWidth="1"/>
    <col min="8" max="8" width="13.77734375" customWidth="1"/>
    <col min="9" max="9" width="8.33203125" customWidth="1"/>
    <col min="10" max="10" width="6.6640625" customWidth="1"/>
    <col min="11" max="11" width="7.109375" customWidth="1"/>
    <col min="12" max="16" width="9.109375" customWidth="1"/>
    <col min="17" max="18" width="8.6640625" customWidth="1"/>
    <col min="19" max="19" width="10.33203125" customWidth="1"/>
    <col min="20" max="22" width="8.6640625" customWidth="1"/>
  </cols>
  <sheetData>
    <row r="1" spans="1:22" ht="14.4" x14ac:dyDescent="0.3">
      <c r="A1" s="45"/>
      <c r="B1" s="46"/>
      <c r="C1" s="47"/>
      <c r="D1" s="58" t="s">
        <v>15</v>
      </c>
      <c r="E1" s="59"/>
      <c r="F1" s="59"/>
      <c r="G1" s="60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60"/>
    </row>
    <row r="2" spans="1:22" ht="14.4" x14ac:dyDescent="0.3">
      <c r="A2" s="48" t="s">
        <v>0</v>
      </c>
      <c r="B2" s="49" t="s">
        <v>14</v>
      </c>
      <c r="C2" s="50" t="s">
        <v>1</v>
      </c>
      <c r="D2" s="2" t="s">
        <v>2</v>
      </c>
      <c r="E2" s="2" t="s">
        <v>3</v>
      </c>
      <c r="F2" s="2" t="s">
        <v>16</v>
      </c>
      <c r="G2" s="2" t="s">
        <v>17</v>
      </c>
      <c r="H2" s="2" t="s">
        <v>18</v>
      </c>
      <c r="I2" s="3" t="s">
        <v>4</v>
      </c>
      <c r="J2" s="3" t="s">
        <v>5</v>
      </c>
      <c r="K2" s="4">
        <v>0.3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3" t="s">
        <v>5</v>
      </c>
      <c r="R2" s="4">
        <v>0.3</v>
      </c>
      <c r="S2" s="2" t="s">
        <v>13</v>
      </c>
      <c r="T2" s="5" t="s">
        <v>6</v>
      </c>
      <c r="U2" s="4">
        <v>0.4</v>
      </c>
      <c r="V2" s="6" t="s">
        <v>12</v>
      </c>
    </row>
    <row r="3" spans="1:22" ht="14.4" x14ac:dyDescent="0.3">
      <c r="A3" s="7"/>
      <c r="B3" t="s">
        <v>124</v>
      </c>
      <c r="C3" t="s">
        <v>95</v>
      </c>
      <c r="D3" s="8"/>
      <c r="E3" s="8"/>
      <c r="F3" s="8"/>
      <c r="G3" s="8"/>
      <c r="H3" s="8"/>
      <c r="I3" s="9">
        <f>SUM(D3:H3)</f>
        <v>0</v>
      </c>
      <c r="J3" s="9">
        <f>(I3/340)*50+50</f>
        <v>50</v>
      </c>
      <c r="K3" s="10">
        <f>J3*30%</f>
        <v>15</v>
      </c>
      <c r="L3" s="18"/>
      <c r="M3" s="18"/>
      <c r="N3" s="18"/>
      <c r="O3" s="18"/>
      <c r="P3" s="18"/>
      <c r="Q3" s="12">
        <f>(((SUM(L3:P3))/50)*50+50)</f>
        <v>50</v>
      </c>
      <c r="R3" s="9">
        <f>Q3*30%</f>
        <v>15</v>
      </c>
      <c r="S3" s="13"/>
      <c r="T3" s="14" cm="1">
        <f t="array" ref="T3">(SUM(S3:S3/50)*50+50)</f>
        <v>50</v>
      </c>
      <c r="U3" s="9">
        <f t="shared" ref="U3:U28" si="0">T3*40%</f>
        <v>20</v>
      </c>
      <c r="V3" s="15">
        <f>K3+R3+U3</f>
        <v>50</v>
      </c>
    </row>
    <row r="4" spans="1:22" ht="14.25" customHeight="1" x14ac:dyDescent="0.3">
      <c r="A4" s="7"/>
      <c r="B4" t="s">
        <v>125</v>
      </c>
      <c r="C4" t="s">
        <v>96</v>
      </c>
      <c r="D4" s="8"/>
      <c r="E4" s="8"/>
      <c r="F4" s="8"/>
      <c r="G4" s="8"/>
      <c r="H4" s="54"/>
      <c r="I4" s="9">
        <f t="shared" ref="I4:I28" si="1">SUM(D4:H4)</f>
        <v>0</v>
      </c>
      <c r="J4" s="9">
        <f t="shared" ref="J4:J28" si="2">(I4/340)*50+50</f>
        <v>50</v>
      </c>
      <c r="K4" s="10">
        <f t="shared" ref="K4:K28" si="3">J4*30%</f>
        <v>15</v>
      </c>
      <c r="L4" s="18"/>
      <c r="M4" s="18"/>
      <c r="N4" s="18"/>
      <c r="O4" s="18"/>
      <c r="P4" s="18"/>
      <c r="Q4" s="12">
        <f t="shared" ref="Q4:Q28" si="4">(((SUM(L4:P4))/50)*50+50)</f>
        <v>50</v>
      </c>
      <c r="R4" s="9">
        <f t="shared" ref="R4:R28" si="5">Q4*30%</f>
        <v>15</v>
      </c>
      <c r="S4" s="13"/>
      <c r="T4" s="14" cm="1">
        <f t="array" ref="T4">(SUM(S4:S4/50)*50+50)</f>
        <v>50</v>
      </c>
      <c r="U4" s="9">
        <f t="shared" si="0"/>
        <v>20</v>
      </c>
      <c r="V4" s="15">
        <f t="shared" ref="V4:V28" si="6">K4+R4+U4</f>
        <v>50</v>
      </c>
    </row>
    <row r="5" spans="1:22" ht="14.4" x14ac:dyDescent="0.3">
      <c r="A5" s="7"/>
      <c r="B5" t="s">
        <v>126</v>
      </c>
      <c r="C5" t="s">
        <v>97</v>
      </c>
      <c r="D5" s="8"/>
      <c r="E5" s="8"/>
      <c r="F5" s="8"/>
      <c r="G5" s="8"/>
      <c r="H5" s="8"/>
      <c r="I5" s="9">
        <f t="shared" si="1"/>
        <v>0</v>
      </c>
      <c r="J5" s="9">
        <f t="shared" si="2"/>
        <v>50</v>
      </c>
      <c r="K5" s="10">
        <f t="shared" si="3"/>
        <v>15</v>
      </c>
      <c r="L5" s="18"/>
      <c r="M5" s="18"/>
      <c r="N5" s="18"/>
      <c r="O5" s="18"/>
      <c r="P5" s="18"/>
      <c r="Q5" s="12">
        <f t="shared" si="4"/>
        <v>50</v>
      </c>
      <c r="R5" s="9">
        <f t="shared" si="5"/>
        <v>15</v>
      </c>
      <c r="S5" s="13"/>
      <c r="T5" s="14" cm="1">
        <f t="array" ref="T5">(SUM(S5:S5/50)*50+50)</f>
        <v>50</v>
      </c>
      <c r="U5" s="9">
        <f t="shared" si="0"/>
        <v>20</v>
      </c>
      <c r="V5" s="15">
        <f t="shared" si="6"/>
        <v>50</v>
      </c>
    </row>
    <row r="6" spans="1:22" ht="26.4" customHeight="1" x14ac:dyDescent="0.3">
      <c r="A6" s="7"/>
      <c r="B6" t="s">
        <v>127</v>
      </c>
      <c r="C6" t="s">
        <v>98</v>
      </c>
      <c r="D6" s="8"/>
      <c r="E6" s="8"/>
      <c r="F6" s="8"/>
      <c r="G6" s="8"/>
      <c r="H6" s="8"/>
      <c r="I6" s="9">
        <f>SUM(D6:H6)</f>
        <v>0</v>
      </c>
      <c r="J6" s="9">
        <f t="shared" si="2"/>
        <v>50</v>
      </c>
      <c r="K6" s="10">
        <f t="shared" si="3"/>
        <v>15</v>
      </c>
      <c r="L6" s="53"/>
      <c r="M6" s="53"/>
      <c r="N6" s="53"/>
      <c r="O6" s="53"/>
      <c r="P6" s="53"/>
      <c r="Q6" s="12">
        <f t="shared" si="4"/>
        <v>50</v>
      </c>
      <c r="R6" s="9">
        <f t="shared" si="5"/>
        <v>15</v>
      </c>
      <c r="S6" s="13"/>
      <c r="T6" s="14" cm="1">
        <f t="array" ref="T6">(SUM(S6:S6/50)*50+50)</f>
        <v>50</v>
      </c>
      <c r="U6" s="9">
        <f t="shared" si="0"/>
        <v>20</v>
      </c>
      <c r="V6" s="15">
        <f>K6+R6+U6</f>
        <v>50</v>
      </c>
    </row>
    <row r="7" spans="1:22" ht="21.6" customHeight="1" x14ac:dyDescent="0.3">
      <c r="A7" s="7"/>
      <c r="B7" t="s">
        <v>128</v>
      </c>
      <c r="C7" t="s">
        <v>99</v>
      </c>
      <c r="D7" s="8"/>
      <c r="E7" s="8"/>
      <c r="F7" s="8"/>
      <c r="G7" s="8"/>
      <c r="H7" s="8"/>
      <c r="I7" s="9">
        <f t="shared" si="1"/>
        <v>0</v>
      </c>
      <c r="J7" s="9">
        <f t="shared" si="2"/>
        <v>50</v>
      </c>
      <c r="K7" s="10">
        <f t="shared" si="3"/>
        <v>15</v>
      </c>
      <c r="L7" s="18"/>
      <c r="M7" s="18"/>
      <c r="N7" s="18"/>
      <c r="O7" s="18"/>
      <c r="P7" s="18"/>
      <c r="Q7" s="12">
        <f t="shared" si="4"/>
        <v>50</v>
      </c>
      <c r="R7" s="9">
        <f t="shared" si="5"/>
        <v>15</v>
      </c>
      <c r="S7" s="13"/>
      <c r="T7" s="14" cm="1">
        <f t="array" ref="T7">(SUM(S7:S7/50)*50+50)</f>
        <v>50</v>
      </c>
      <c r="U7" s="9">
        <f t="shared" si="0"/>
        <v>20</v>
      </c>
      <c r="V7" s="15">
        <f t="shared" si="6"/>
        <v>50</v>
      </c>
    </row>
    <row r="8" spans="1:22" ht="14.25" customHeight="1" x14ac:dyDescent="0.3">
      <c r="A8" s="7"/>
      <c r="B8" t="s">
        <v>129</v>
      </c>
      <c r="C8" t="s">
        <v>100</v>
      </c>
      <c r="D8" s="8"/>
      <c r="E8" s="8"/>
      <c r="F8" s="8"/>
      <c r="G8" s="8"/>
      <c r="H8" s="8"/>
      <c r="I8" s="9">
        <f t="shared" si="1"/>
        <v>0</v>
      </c>
      <c r="J8" s="9">
        <f t="shared" si="2"/>
        <v>50</v>
      </c>
      <c r="K8" s="10">
        <f t="shared" si="3"/>
        <v>15</v>
      </c>
      <c r="L8" s="18"/>
      <c r="M8" s="18"/>
      <c r="N8" s="18"/>
      <c r="O8" s="18"/>
      <c r="P8" s="18"/>
      <c r="Q8" s="12">
        <f t="shared" si="4"/>
        <v>50</v>
      </c>
      <c r="R8" s="9">
        <f t="shared" si="5"/>
        <v>15</v>
      </c>
      <c r="S8" s="13"/>
      <c r="T8" s="14" cm="1">
        <f t="array" ref="T8">(SUM(S8:S8/50)*50+50)</f>
        <v>50</v>
      </c>
      <c r="U8" s="9">
        <f t="shared" si="0"/>
        <v>20</v>
      </c>
      <c r="V8" s="15">
        <f t="shared" si="6"/>
        <v>50</v>
      </c>
    </row>
    <row r="9" spans="1:22" ht="14.4" x14ac:dyDescent="0.3">
      <c r="A9" s="7"/>
      <c r="B9" t="s">
        <v>131</v>
      </c>
      <c r="C9" t="s">
        <v>130</v>
      </c>
      <c r="D9" s="8"/>
      <c r="E9" s="8"/>
      <c r="F9" s="8"/>
      <c r="G9" s="8"/>
      <c r="H9" s="8"/>
      <c r="I9" s="9">
        <f t="shared" si="1"/>
        <v>0</v>
      </c>
      <c r="J9" s="9">
        <f t="shared" si="2"/>
        <v>50</v>
      </c>
      <c r="K9" s="10">
        <f t="shared" si="3"/>
        <v>15</v>
      </c>
      <c r="L9" s="18"/>
      <c r="M9" s="18"/>
      <c r="N9" s="18"/>
      <c r="O9" s="18"/>
      <c r="P9" s="18"/>
      <c r="Q9" s="12">
        <f t="shared" si="4"/>
        <v>50</v>
      </c>
      <c r="R9" s="9">
        <f t="shared" si="5"/>
        <v>15</v>
      </c>
      <c r="S9" s="13"/>
      <c r="T9" s="14" cm="1">
        <f t="array" ref="T9">(SUM(S9:S9/50)*50+50)</f>
        <v>50</v>
      </c>
      <c r="U9" s="9">
        <f t="shared" si="0"/>
        <v>20</v>
      </c>
      <c r="V9" s="15">
        <f t="shared" si="6"/>
        <v>50</v>
      </c>
    </row>
    <row r="10" spans="1:22" ht="14.4" x14ac:dyDescent="0.3">
      <c r="A10" s="7"/>
      <c r="B10" t="s">
        <v>132</v>
      </c>
      <c r="C10" t="s">
        <v>101</v>
      </c>
      <c r="D10" s="8"/>
      <c r="E10" s="8"/>
      <c r="F10" s="8"/>
      <c r="G10" s="8"/>
      <c r="H10" s="8"/>
      <c r="I10" s="9">
        <f t="shared" si="1"/>
        <v>0</v>
      </c>
      <c r="J10" s="9">
        <f t="shared" si="2"/>
        <v>50</v>
      </c>
      <c r="K10" s="10">
        <f t="shared" si="3"/>
        <v>15</v>
      </c>
      <c r="L10" s="18"/>
      <c r="M10" s="18"/>
      <c r="N10" s="18"/>
      <c r="O10" s="18"/>
      <c r="P10" s="18"/>
      <c r="Q10" s="12">
        <f t="shared" si="4"/>
        <v>50</v>
      </c>
      <c r="R10" s="9">
        <f t="shared" si="5"/>
        <v>15</v>
      </c>
      <c r="S10" s="13"/>
      <c r="T10" s="14" cm="1">
        <f t="array" ref="T10">(SUM(S10:S10/50)*50+50)</f>
        <v>50</v>
      </c>
      <c r="U10" s="9">
        <f t="shared" si="0"/>
        <v>20</v>
      </c>
      <c r="V10" s="15">
        <f t="shared" si="6"/>
        <v>50</v>
      </c>
    </row>
    <row r="11" spans="1:22" ht="14.4" x14ac:dyDescent="0.3">
      <c r="A11" s="7"/>
      <c r="B11" t="s">
        <v>133</v>
      </c>
      <c r="C11" t="s">
        <v>102</v>
      </c>
      <c r="D11" s="8"/>
      <c r="E11" s="8"/>
      <c r="F11" s="8"/>
      <c r="G11" s="8"/>
      <c r="H11" s="8"/>
      <c r="I11" s="9">
        <f t="shared" si="1"/>
        <v>0</v>
      </c>
      <c r="J11" s="9">
        <f t="shared" si="2"/>
        <v>50</v>
      </c>
      <c r="K11" s="10">
        <f t="shared" si="3"/>
        <v>15</v>
      </c>
      <c r="L11" s="18"/>
      <c r="M11" s="18"/>
      <c r="N11" s="18"/>
      <c r="O11" s="18"/>
      <c r="P11" s="18"/>
      <c r="Q11" s="12">
        <f t="shared" si="4"/>
        <v>50</v>
      </c>
      <c r="R11" s="9">
        <f t="shared" si="5"/>
        <v>15</v>
      </c>
      <c r="S11" s="13"/>
      <c r="T11" s="14" cm="1">
        <f t="array" ref="T11">(SUM(S11:S11/50)*50+50)</f>
        <v>50</v>
      </c>
      <c r="U11" s="9">
        <f t="shared" si="0"/>
        <v>20</v>
      </c>
      <c r="V11" s="15">
        <f t="shared" si="6"/>
        <v>50</v>
      </c>
    </row>
    <row r="12" spans="1:22" ht="28.2" customHeight="1" x14ac:dyDescent="0.3">
      <c r="A12" s="16"/>
      <c r="B12" t="s">
        <v>134</v>
      </c>
      <c r="C12" t="s">
        <v>103</v>
      </c>
      <c r="D12" s="8"/>
      <c r="E12" s="8"/>
      <c r="F12" s="8"/>
      <c r="G12" s="8"/>
      <c r="H12" s="8"/>
      <c r="I12" s="9">
        <f t="shared" si="1"/>
        <v>0</v>
      </c>
      <c r="J12" s="9">
        <f t="shared" si="2"/>
        <v>50</v>
      </c>
      <c r="K12" s="10">
        <f t="shared" si="3"/>
        <v>15</v>
      </c>
      <c r="L12" s="18"/>
      <c r="M12" s="18"/>
      <c r="N12" s="18"/>
      <c r="O12" s="18"/>
      <c r="P12" s="18"/>
      <c r="Q12" s="12">
        <f t="shared" si="4"/>
        <v>50</v>
      </c>
      <c r="R12" s="9">
        <f t="shared" si="5"/>
        <v>15</v>
      </c>
      <c r="S12" s="13"/>
      <c r="T12" s="14" cm="1">
        <f t="array" ref="T12">(SUM(S12:S12/50)*50+50)</f>
        <v>50</v>
      </c>
      <c r="U12" s="9">
        <f t="shared" si="0"/>
        <v>20</v>
      </c>
      <c r="V12" s="15">
        <f t="shared" si="6"/>
        <v>50</v>
      </c>
    </row>
    <row r="13" spans="1:22" ht="26.4" customHeight="1" x14ac:dyDescent="0.3">
      <c r="A13" s="16"/>
      <c r="B13" t="s">
        <v>135</v>
      </c>
      <c r="C13" t="s">
        <v>104</v>
      </c>
      <c r="D13" s="8"/>
      <c r="E13" s="8"/>
      <c r="F13" s="8"/>
      <c r="G13" s="8"/>
      <c r="H13" s="8"/>
      <c r="I13" s="9">
        <f t="shared" si="1"/>
        <v>0</v>
      </c>
      <c r="J13" s="9">
        <f t="shared" si="2"/>
        <v>50</v>
      </c>
      <c r="K13" s="10">
        <f t="shared" si="3"/>
        <v>15</v>
      </c>
      <c r="L13" s="18"/>
      <c r="M13" s="18"/>
      <c r="N13" s="18"/>
      <c r="O13" s="18"/>
      <c r="P13" s="18"/>
      <c r="Q13" s="12">
        <f t="shared" si="4"/>
        <v>50</v>
      </c>
      <c r="R13" s="9">
        <f t="shared" si="5"/>
        <v>15</v>
      </c>
      <c r="S13" s="13"/>
      <c r="T13" s="14" cm="1">
        <f t="array" ref="T13">(SUM(S13:S13/50)*50+50)</f>
        <v>50</v>
      </c>
      <c r="U13" s="9">
        <f t="shared" si="0"/>
        <v>20</v>
      </c>
      <c r="V13" s="15">
        <f t="shared" si="6"/>
        <v>50</v>
      </c>
    </row>
    <row r="14" spans="1:22" ht="15.75" customHeight="1" x14ac:dyDescent="0.3">
      <c r="A14" s="16"/>
      <c r="B14" t="s">
        <v>136</v>
      </c>
      <c r="C14" t="s">
        <v>105</v>
      </c>
      <c r="D14" s="8"/>
      <c r="E14" s="8"/>
      <c r="F14" s="8"/>
      <c r="G14" s="8"/>
      <c r="H14" s="8"/>
      <c r="I14" s="9">
        <f>SUM(D14:H14)</f>
        <v>0</v>
      </c>
      <c r="J14" s="9">
        <f t="shared" si="2"/>
        <v>50</v>
      </c>
      <c r="K14" s="10">
        <f t="shared" si="3"/>
        <v>15</v>
      </c>
      <c r="L14" s="18"/>
      <c r="M14" s="18"/>
      <c r="N14" s="18"/>
      <c r="O14" s="18"/>
      <c r="P14" s="18"/>
      <c r="Q14" s="12">
        <f t="shared" si="4"/>
        <v>50</v>
      </c>
      <c r="R14" s="9">
        <f t="shared" si="5"/>
        <v>15</v>
      </c>
      <c r="S14" s="13"/>
      <c r="T14" s="14" cm="1">
        <f t="array" ref="T14">(SUM(S14:S14/50)*50+50)</f>
        <v>50</v>
      </c>
      <c r="U14" s="9">
        <f t="shared" si="0"/>
        <v>20</v>
      </c>
      <c r="V14" s="15">
        <f t="shared" si="6"/>
        <v>50</v>
      </c>
    </row>
    <row r="15" spans="1:22" ht="25.2" customHeight="1" x14ac:dyDescent="0.3">
      <c r="A15" s="16"/>
      <c r="B15" t="s">
        <v>137</v>
      </c>
      <c r="C15" t="s">
        <v>106</v>
      </c>
      <c r="D15" s="8"/>
      <c r="E15" s="8"/>
      <c r="F15" s="8"/>
      <c r="G15" s="8"/>
      <c r="H15" s="8"/>
      <c r="I15" s="9">
        <f t="shared" si="1"/>
        <v>0</v>
      </c>
      <c r="J15" s="9">
        <f t="shared" si="2"/>
        <v>50</v>
      </c>
      <c r="K15" s="10">
        <f t="shared" si="3"/>
        <v>15</v>
      </c>
      <c r="L15" s="18"/>
      <c r="M15" s="18"/>
      <c r="N15" s="18"/>
      <c r="O15" s="18"/>
      <c r="P15" s="18"/>
      <c r="Q15" s="12">
        <f t="shared" si="4"/>
        <v>50</v>
      </c>
      <c r="R15" s="9">
        <f t="shared" si="5"/>
        <v>15</v>
      </c>
      <c r="S15" s="13"/>
      <c r="T15" s="14" cm="1">
        <f t="array" ref="T15">(SUM(S15:S15/50)*50+50)</f>
        <v>50</v>
      </c>
      <c r="U15" s="9">
        <f t="shared" si="0"/>
        <v>20</v>
      </c>
      <c r="V15" s="15">
        <f>K15+R15+U15</f>
        <v>50</v>
      </c>
    </row>
    <row r="16" spans="1:22" ht="15.75" customHeight="1" x14ac:dyDescent="0.3">
      <c r="A16" s="16"/>
      <c r="B16" t="s">
        <v>138</v>
      </c>
      <c r="C16" t="s">
        <v>107</v>
      </c>
      <c r="D16" s="8"/>
      <c r="E16" s="8"/>
      <c r="F16" s="8"/>
      <c r="G16" s="8"/>
      <c r="H16" s="8"/>
      <c r="I16" s="9">
        <f t="shared" si="1"/>
        <v>0</v>
      </c>
      <c r="J16" s="9">
        <f t="shared" si="2"/>
        <v>50</v>
      </c>
      <c r="K16" s="10">
        <f t="shared" si="3"/>
        <v>15</v>
      </c>
      <c r="L16" s="18"/>
      <c r="M16" s="18"/>
      <c r="N16" s="18"/>
      <c r="O16" s="18"/>
      <c r="P16" s="18"/>
      <c r="Q16" s="12">
        <f t="shared" si="4"/>
        <v>50</v>
      </c>
      <c r="R16" s="9">
        <f t="shared" si="5"/>
        <v>15</v>
      </c>
      <c r="S16" s="13"/>
      <c r="T16" s="14" cm="1">
        <f t="array" ref="T16">(SUM(S16:S16/50)*50+50)</f>
        <v>50</v>
      </c>
      <c r="U16" s="9">
        <f t="shared" si="0"/>
        <v>20</v>
      </c>
      <c r="V16" s="15">
        <f t="shared" si="6"/>
        <v>50</v>
      </c>
    </row>
    <row r="17" spans="1:22" ht="15.75" customHeight="1" x14ac:dyDescent="0.3">
      <c r="A17" s="16"/>
      <c r="B17" t="s">
        <v>139</v>
      </c>
      <c r="C17" t="s">
        <v>108</v>
      </c>
      <c r="D17" s="8"/>
      <c r="E17" s="8"/>
      <c r="F17" s="8"/>
      <c r="G17" s="8"/>
      <c r="H17" s="8"/>
      <c r="I17" s="9">
        <f t="shared" si="1"/>
        <v>0</v>
      </c>
      <c r="J17" s="9">
        <f t="shared" si="2"/>
        <v>50</v>
      </c>
      <c r="K17" s="10">
        <f t="shared" si="3"/>
        <v>15</v>
      </c>
      <c r="L17" s="18"/>
      <c r="M17" s="18"/>
      <c r="N17" s="18"/>
      <c r="O17" s="18"/>
      <c r="P17" s="18"/>
      <c r="Q17" s="12">
        <f t="shared" si="4"/>
        <v>50</v>
      </c>
      <c r="R17" s="9">
        <f t="shared" si="5"/>
        <v>15</v>
      </c>
      <c r="S17" s="13"/>
      <c r="T17" s="14" cm="1">
        <f t="array" ref="T17">(SUM(S17:S17/50)*50+50)</f>
        <v>50</v>
      </c>
      <c r="U17" s="9">
        <f t="shared" si="0"/>
        <v>20</v>
      </c>
      <c r="V17" s="15">
        <f t="shared" si="6"/>
        <v>50</v>
      </c>
    </row>
    <row r="18" spans="1:22" ht="31.2" customHeight="1" x14ac:dyDescent="0.3">
      <c r="A18" s="16"/>
      <c r="B18" t="s">
        <v>140</v>
      </c>
      <c r="C18" t="s">
        <v>109</v>
      </c>
      <c r="D18" s="8"/>
      <c r="E18" s="8"/>
      <c r="F18" s="8"/>
      <c r="G18" s="8"/>
      <c r="H18" s="8"/>
      <c r="I18" s="9">
        <f t="shared" si="1"/>
        <v>0</v>
      </c>
      <c r="J18" s="9">
        <f t="shared" si="2"/>
        <v>50</v>
      </c>
      <c r="K18" s="10">
        <f t="shared" si="3"/>
        <v>15</v>
      </c>
      <c r="L18" s="18"/>
      <c r="M18" s="18"/>
      <c r="N18" s="18"/>
      <c r="O18" s="18"/>
      <c r="P18" s="18"/>
      <c r="Q18" s="12">
        <f t="shared" si="4"/>
        <v>50</v>
      </c>
      <c r="R18" s="9">
        <f t="shared" si="5"/>
        <v>15</v>
      </c>
      <c r="S18" s="13"/>
      <c r="T18" s="14" cm="1">
        <f t="array" ref="T18">(SUM(S18:S18/50)*50+50)</f>
        <v>50</v>
      </c>
      <c r="U18" s="9">
        <f t="shared" si="0"/>
        <v>20</v>
      </c>
      <c r="V18" s="15">
        <f t="shared" si="6"/>
        <v>50</v>
      </c>
    </row>
    <row r="19" spans="1:22" ht="15.75" customHeight="1" x14ac:dyDescent="0.3">
      <c r="A19" s="16"/>
      <c r="B19" t="s">
        <v>141</v>
      </c>
      <c r="C19" t="s">
        <v>110</v>
      </c>
      <c r="D19" s="8"/>
      <c r="E19" s="8"/>
      <c r="F19" s="8"/>
      <c r="G19" s="8"/>
      <c r="H19" s="8"/>
      <c r="I19" s="9">
        <f t="shared" si="1"/>
        <v>0</v>
      </c>
      <c r="J19" s="9">
        <f t="shared" si="2"/>
        <v>50</v>
      </c>
      <c r="K19" s="10">
        <f t="shared" si="3"/>
        <v>15</v>
      </c>
      <c r="L19" s="18"/>
      <c r="M19" s="18"/>
      <c r="N19" s="18"/>
      <c r="O19" s="18"/>
      <c r="P19" s="18"/>
      <c r="Q19" s="12">
        <f t="shared" si="4"/>
        <v>50</v>
      </c>
      <c r="R19" s="9">
        <f t="shared" si="5"/>
        <v>15</v>
      </c>
      <c r="S19" s="13"/>
      <c r="T19" s="14" cm="1">
        <f t="array" ref="T19">(SUM(S19:S19/50)*50+50)</f>
        <v>50</v>
      </c>
      <c r="U19" s="9">
        <f t="shared" si="0"/>
        <v>20</v>
      </c>
      <c r="V19" s="15">
        <f t="shared" si="6"/>
        <v>50</v>
      </c>
    </row>
    <row r="20" spans="1:22" ht="15.75" customHeight="1" x14ac:dyDescent="0.3">
      <c r="A20" s="16"/>
      <c r="B20" t="s">
        <v>142</v>
      </c>
      <c r="C20" t="s">
        <v>111</v>
      </c>
      <c r="D20" s="8"/>
      <c r="E20" s="8"/>
      <c r="F20" s="8"/>
      <c r="G20" s="8"/>
      <c r="H20" s="8"/>
      <c r="I20" s="9">
        <f t="shared" si="1"/>
        <v>0</v>
      </c>
      <c r="J20" s="9">
        <f t="shared" si="2"/>
        <v>50</v>
      </c>
      <c r="K20" s="10">
        <f t="shared" si="3"/>
        <v>15</v>
      </c>
      <c r="L20" s="18"/>
      <c r="M20" s="18"/>
      <c r="N20" s="18"/>
      <c r="O20" s="18"/>
      <c r="P20" s="18"/>
      <c r="Q20" s="12">
        <f t="shared" si="4"/>
        <v>50</v>
      </c>
      <c r="R20" s="9">
        <f t="shared" si="5"/>
        <v>15</v>
      </c>
      <c r="S20" s="13"/>
      <c r="T20" s="14" cm="1">
        <f t="array" ref="T20">(SUM(S20:S20/50)*50+50)</f>
        <v>50</v>
      </c>
      <c r="U20" s="9">
        <f t="shared" si="0"/>
        <v>20</v>
      </c>
      <c r="V20" s="15">
        <f t="shared" si="6"/>
        <v>50</v>
      </c>
    </row>
    <row r="21" spans="1:22" ht="15.75" customHeight="1" x14ac:dyDescent="0.3">
      <c r="A21" s="16"/>
      <c r="B21" t="s">
        <v>143</v>
      </c>
      <c r="C21" t="s">
        <v>112</v>
      </c>
      <c r="D21" s="8"/>
      <c r="E21" s="8"/>
      <c r="F21" s="8"/>
      <c r="G21" s="8"/>
      <c r="H21" s="8"/>
      <c r="I21" s="9">
        <f t="shared" si="1"/>
        <v>0</v>
      </c>
      <c r="J21" s="9">
        <f t="shared" si="2"/>
        <v>50</v>
      </c>
      <c r="K21" s="10">
        <f t="shared" si="3"/>
        <v>15</v>
      </c>
      <c r="L21" s="18"/>
      <c r="M21" s="18"/>
      <c r="N21" s="18"/>
      <c r="O21" s="18"/>
      <c r="P21" s="18"/>
      <c r="Q21" s="12">
        <f t="shared" si="4"/>
        <v>50</v>
      </c>
      <c r="R21" s="9">
        <f t="shared" si="5"/>
        <v>15</v>
      </c>
      <c r="S21" s="13"/>
      <c r="T21" s="14" cm="1">
        <f t="array" ref="T21">(SUM(S21:S21/50)*50+50)</f>
        <v>50</v>
      </c>
      <c r="U21" s="9">
        <f t="shared" si="0"/>
        <v>20</v>
      </c>
      <c r="V21" s="15">
        <f t="shared" si="6"/>
        <v>50</v>
      </c>
    </row>
    <row r="22" spans="1:22" ht="25.2" customHeight="1" x14ac:dyDescent="0.3">
      <c r="A22" s="16"/>
      <c r="B22" t="s">
        <v>144</v>
      </c>
      <c r="C22" t="s">
        <v>113</v>
      </c>
      <c r="D22" s="8"/>
      <c r="E22" s="8"/>
      <c r="F22" s="8"/>
      <c r="G22" s="8"/>
      <c r="H22" s="8"/>
      <c r="I22" s="9">
        <f t="shared" si="1"/>
        <v>0</v>
      </c>
      <c r="J22" s="9">
        <f t="shared" si="2"/>
        <v>50</v>
      </c>
      <c r="K22" s="10">
        <f t="shared" si="3"/>
        <v>15</v>
      </c>
      <c r="L22" s="53"/>
      <c r="M22" s="53"/>
      <c r="N22" s="53"/>
      <c r="O22" s="53"/>
      <c r="P22" s="53"/>
      <c r="Q22" s="12">
        <f t="shared" si="4"/>
        <v>50</v>
      </c>
      <c r="R22" s="9">
        <f t="shared" si="5"/>
        <v>15</v>
      </c>
      <c r="S22" s="13"/>
      <c r="T22" s="14" cm="1">
        <f t="array" ref="T22">(SUM(S22:S22/50)*50+50)</f>
        <v>50</v>
      </c>
      <c r="U22" s="9">
        <f t="shared" si="0"/>
        <v>20</v>
      </c>
      <c r="V22" s="15">
        <f t="shared" si="6"/>
        <v>50</v>
      </c>
    </row>
    <row r="23" spans="1:22" ht="15" customHeight="1" x14ac:dyDescent="0.3">
      <c r="A23" s="16"/>
      <c r="B23" t="s">
        <v>145</v>
      </c>
      <c r="C23" t="s">
        <v>114</v>
      </c>
      <c r="D23" s="8"/>
      <c r="E23" s="8"/>
      <c r="F23" s="8"/>
      <c r="G23" s="8"/>
      <c r="H23" s="8"/>
      <c r="I23" s="9">
        <f t="shared" si="1"/>
        <v>0</v>
      </c>
      <c r="J23" s="9">
        <f t="shared" si="2"/>
        <v>50</v>
      </c>
      <c r="K23" s="10">
        <f t="shared" si="3"/>
        <v>15</v>
      </c>
      <c r="L23" s="18"/>
      <c r="M23" s="18"/>
      <c r="N23" s="18"/>
      <c r="O23" s="18"/>
      <c r="P23" s="18"/>
      <c r="Q23" s="12">
        <f t="shared" si="4"/>
        <v>50</v>
      </c>
      <c r="R23" s="9">
        <f t="shared" si="5"/>
        <v>15</v>
      </c>
      <c r="S23" s="13"/>
      <c r="T23" s="14" cm="1">
        <f t="array" ref="T23">(SUM(S23:S23/50)*50+50)</f>
        <v>50</v>
      </c>
      <c r="U23" s="9">
        <f t="shared" si="0"/>
        <v>20</v>
      </c>
      <c r="V23" s="15">
        <f t="shared" si="6"/>
        <v>50</v>
      </c>
    </row>
    <row r="24" spans="1:22" ht="15.6" hidden="1" customHeight="1" x14ac:dyDescent="0.3">
      <c r="A24" s="16"/>
      <c r="B24" s="44"/>
      <c r="C24" s="44"/>
      <c r="D24" s="8"/>
      <c r="E24" s="8"/>
      <c r="F24" s="8"/>
      <c r="G24" s="8"/>
      <c r="H24" s="8"/>
      <c r="I24" s="9">
        <f t="shared" si="1"/>
        <v>0</v>
      </c>
      <c r="J24" s="9">
        <f t="shared" si="2"/>
        <v>50</v>
      </c>
      <c r="K24" s="10">
        <f t="shared" si="3"/>
        <v>15</v>
      </c>
      <c r="L24" s="18"/>
      <c r="M24" s="18"/>
      <c r="N24" s="18"/>
      <c r="O24" s="18"/>
      <c r="P24" s="18"/>
      <c r="Q24" s="12">
        <f t="shared" si="4"/>
        <v>50</v>
      </c>
      <c r="R24" s="9">
        <f t="shared" si="5"/>
        <v>15</v>
      </c>
      <c r="S24" s="13"/>
      <c r="T24" s="14" cm="1">
        <f t="array" ref="T24">(SUM(S24:S24/50)*50+50)</f>
        <v>50</v>
      </c>
      <c r="U24" s="9">
        <f t="shared" si="0"/>
        <v>20</v>
      </c>
      <c r="V24" s="15">
        <f t="shared" si="6"/>
        <v>50</v>
      </c>
    </row>
    <row r="25" spans="1:22" ht="15.75" customHeight="1" x14ac:dyDescent="0.3">
      <c r="A25" s="16"/>
      <c r="B25" t="s">
        <v>146</v>
      </c>
      <c r="C25" t="s">
        <v>115</v>
      </c>
      <c r="D25" s="8"/>
      <c r="E25" s="8"/>
      <c r="F25" s="8"/>
      <c r="G25" s="8"/>
      <c r="H25" s="8"/>
      <c r="I25" s="9">
        <f t="shared" si="1"/>
        <v>0</v>
      </c>
      <c r="J25" s="9">
        <f t="shared" si="2"/>
        <v>50</v>
      </c>
      <c r="K25" s="10">
        <f t="shared" si="3"/>
        <v>15</v>
      </c>
      <c r="L25" s="18"/>
      <c r="M25" s="18"/>
      <c r="N25" s="18"/>
      <c r="O25" s="18"/>
      <c r="P25" s="18"/>
      <c r="Q25" s="12">
        <f t="shared" si="4"/>
        <v>50</v>
      </c>
      <c r="R25" s="9">
        <f t="shared" si="5"/>
        <v>15</v>
      </c>
      <c r="S25" s="13"/>
      <c r="T25" s="14" cm="1">
        <f t="array" ref="T25">(SUM(S25:S25/50)*50+50)</f>
        <v>50</v>
      </c>
      <c r="U25" s="9">
        <f t="shared" si="0"/>
        <v>20</v>
      </c>
      <c r="V25" s="15">
        <f t="shared" si="6"/>
        <v>50</v>
      </c>
    </row>
    <row r="26" spans="1:22" ht="27.6" customHeight="1" x14ac:dyDescent="0.3">
      <c r="A26" s="16"/>
      <c r="B26" t="s">
        <v>147</v>
      </c>
      <c r="C26" t="s">
        <v>116</v>
      </c>
      <c r="D26" s="8"/>
      <c r="E26" s="8"/>
      <c r="F26" s="8"/>
      <c r="G26" s="8"/>
      <c r="H26" s="8"/>
      <c r="I26" s="9">
        <f t="shared" si="1"/>
        <v>0</v>
      </c>
      <c r="J26" s="9">
        <f t="shared" si="2"/>
        <v>50</v>
      </c>
      <c r="K26" s="10">
        <f t="shared" si="3"/>
        <v>15</v>
      </c>
      <c r="L26" s="17"/>
      <c r="M26" s="17"/>
      <c r="N26" s="17"/>
      <c r="O26" s="17"/>
      <c r="P26" s="17"/>
      <c r="Q26" s="12">
        <f t="shared" si="4"/>
        <v>50</v>
      </c>
      <c r="R26" s="9">
        <f t="shared" si="5"/>
        <v>15</v>
      </c>
      <c r="S26" s="13"/>
      <c r="T26" s="14" cm="1">
        <f t="array" ref="T26">(SUM(S26:S26/50)*50+50)</f>
        <v>50</v>
      </c>
      <c r="U26" s="9">
        <f t="shared" si="0"/>
        <v>20</v>
      </c>
      <c r="V26" s="15">
        <f t="shared" si="6"/>
        <v>50</v>
      </c>
    </row>
    <row r="27" spans="1:22" ht="30" customHeight="1" x14ac:dyDescent="0.3">
      <c r="A27" s="16"/>
      <c r="B27" t="s">
        <v>148</v>
      </c>
      <c r="C27" t="s">
        <v>117</v>
      </c>
      <c r="D27" s="8"/>
      <c r="E27" s="8"/>
      <c r="F27" s="8"/>
      <c r="G27" s="8"/>
      <c r="H27" s="8"/>
      <c r="I27" s="9">
        <f t="shared" si="1"/>
        <v>0</v>
      </c>
      <c r="J27" s="9">
        <f t="shared" si="2"/>
        <v>50</v>
      </c>
      <c r="K27" s="10">
        <f t="shared" si="3"/>
        <v>15</v>
      </c>
      <c r="L27" s="18"/>
      <c r="M27" s="18"/>
      <c r="N27" s="18"/>
      <c r="O27" s="18"/>
      <c r="P27" s="18"/>
      <c r="Q27" s="12">
        <f t="shared" si="4"/>
        <v>50</v>
      </c>
      <c r="R27" s="9">
        <f t="shared" si="5"/>
        <v>15</v>
      </c>
      <c r="S27" s="13"/>
      <c r="T27" s="14" cm="1">
        <f t="array" ref="T27">(SUM(S27:S27/50)*50+50)</f>
        <v>50</v>
      </c>
      <c r="U27" s="9">
        <f t="shared" si="0"/>
        <v>20</v>
      </c>
      <c r="V27" s="15">
        <f t="shared" si="6"/>
        <v>50</v>
      </c>
    </row>
    <row r="28" spans="1:22" ht="15.75" customHeight="1" x14ac:dyDescent="0.3">
      <c r="A28" s="16"/>
      <c r="B28" t="s">
        <v>149</v>
      </c>
      <c r="C28" t="s">
        <v>118</v>
      </c>
      <c r="D28" s="8"/>
      <c r="E28" s="8"/>
      <c r="F28" s="8"/>
      <c r="G28" s="8"/>
      <c r="H28" s="8"/>
      <c r="I28" s="9">
        <f t="shared" si="1"/>
        <v>0</v>
      </c>
      <c r="J28" s="9">
        <f t="shared" si="2"/>
        <v>50</v>
      </c>
      <c r="K28" s="10">
        <f t="shared" si="3"/>
        <v>15</v>
      </c>
      <c r="L28" s="18"/>
      <c r="M28" s="18"/>
      <c r="N28" s="18"/>
      <c r="O28" s="18"/>
      <c r="P28" s="18"/>
      <c r="Q28" s="12">
        <f t="shared" si="4"/>
        <v>50</v>
      </c>
      <c r="R28" s="9">
        <f t="shared" si="5"/>
        <v>15</v>
      </c>
      <c r="S28" s="13"/>
      <c r="T28" s="14" cm="1">
        <f t="array" ref="T28">(SUM(S28:S28/50)*50+50)</f>
        <v>50</v>
      </c>
      <c r="U28" s="9">
        <f t="shared" si="0"/>
        <v>20</v>
      </c>
      <c r="V28" s="15">
        <f t="shared" si="6"/>
        <v>50</v>
      </c>
    </row>
    <row r="29" spans="1:22" ht="15.75" customHeight="1" x14ac:dyDescent="0.3">
      <c r="B29" t="s">
        <v>150</v>
      </c>
      <c r="C29" t="s">
        <v>119</v>
      </c>
      <c r="D29" s="8"/>
      <c r="E29" s="8"/>
      <c r="F29" s="8"/>
      <c r="G29" s="8"/>
      <c r="H29" s="8"/>
      <c r="I29" s="9">
        <f t="shared" ref="I29:I33" si="7">SUM(D29:H29)</f>
        <v>0</v>
      </c>
      <c r="J29" s="9">
        <f t="shared" ref="J29:J33" si="8">(I29/340)*50+50</f>
        <v>50</v>
      </c>
      <c r="K29" s="10">
        <f t="shared" ref="K29:K33" si="9">J29*30%</f>
        <v>15</v>
      </c>
      <c r="L29" s="18"/>
      <c r="M29" s="18"/>
      <c r="N29" s="18"/>
      <c r="O29" s="18"/>
      <c r="P29" s="18"/>
      <c r="Q29" s="12">
        <f t="shared" ref="Q29:Q33" si="10">(((SUM(L29:P29))/50)*50+50)</f>
        <v>50</v>
      </c>
      <c r="R29" s="9">
        <f t="shared" ref="R29:R33" si="11">Q29*30%</f>
        <v>15</v>
      </c>
      <c r="S29" s="13"/>
      <c r="T29" s="14" cm="1">
        <f t="array" ref="T29">(SUM(S29:S29/50)*50+50)</f>
        <v>50</v>
      </c>
      <c r="U29" s="9">
        <f t="shared" ref="U29:U33" si="12">T29*40%</f>
        <v>20</v>
      </c>
      <c r="V29" s="15">
        <f t="shared" ref="V29:V33" si="13">K29+R29+U29</f>
        <v>50</v>
      </c>
    </row>
    <row r="30" spans="1:22" ht="15.75" customHeight="1" x14ac:dyDescent="0.3">
      <c r="B30" t="s">
        <v>151</v>
      </c>
      <c r="C30" t="s">
        <v>120</v>
      </c>
      <c r="D30" s="8"/>
      <c r="E30" s="8"/>
      <c r="F30" s="8"/>
      <c r="G30" s="8"/>
      <c r="H30" s="8"/>
      <c r="I30" s="9">
        <f t="shared" si="7"/>
        <v>0</v>
      </c>
      <c r="J30" s="9">
        <f t="shared" si="8"/>
        <v>50</v>
      </c>
      <c r="K30" s="10">
        <f t="shared" si="9"/>
        <v>15</v>
      </c>
      <c r="L30" s="18"/>
      <c r="M30" s="18"/>
      <c r="N30" s="18"/>
      <c r="O30" s="18"/>
      <c r="P30" s="18"/>
      <c r="Q30" s="12">
        <f t="shared" si="10"/>
        <v>50</v>
      </c>
      <c r="R30" s="9">
        <f t="shared" si="11"/>
        <v>15</v>
      </c>
      <c r="S30" s="13"/>
      <c r="T30" s="14" cm="1">
        <f t="array" ref="T30">(SUM(S30:S30/50)*50+50)</f>
        <v>50</v>
      </c>
      <c r="U30" s="9">
        <f t="shared" si="12"/>
        <v>20</v>
      </c>
      <c r="V30" s="15">
        <f t="shared" si="13"/>
        <v>50</v>
      </c>
    </row>
    <row r="31" spans="1:22" ht="15.75" customHeight="1" x14ac:dyDescent="0.3">
      <c r="B31" t="s">
        <v>152</v>
      </c>
      <c r="C31" t="s">
        <v>121</v>
      </c>
      <c r="D31" s="8"/>
      <c r="E31" s="8"/>
      <c r="F31" s="8"/>
      <c r="G31" s="8"/>
      <c r="H31" s="8"/>
      <c r="I31" s="9">
        <f t="shared" si="7"/>
        <v>0</v>
      </c>
      <c r="J31" s="9">
        <f t="shared" si="8"/>
        <v>50</v>
      </c>
      <c r="K31" s="10">
        <f t="shared" si="9"/>
        <v>15</v>
      </c>
      <c r="L31" s="18"/>
      <c r="M31" s="18"/>
      <c r="N31" s="18"/>
      <c r="O31" s="18"/>
      <c r="P31" s="18"/>
      <c r="Q31" s="12">
        <f t="shared" si="10"/>
        <v>50</v>
      </c>
      <c r="R31" s="9">
        <f t="shared" si="11"/>
        <v>15</v>
      </c>
      <c r="S31" s="13"/>
      <c r="T31" s="14" cm="1">
        <f t="array" ref="T31">(SUM(S31:S31/50)*50+50)</f>
        <v>50</v>
      </c>
      <c r="U31" s="9">
        <f t="shared" si="12"/>
        <v>20</v>
      </c>
      <c r="V31" s="15">
        <f t="shared" si="13"/>
        <v>50</v>
      </c>
    </row>
    <row r="32" spans="1:22" ht="15.75" customHeight="1" x14ac:dyDescent="0.3">
      <c r="B32" t="s">
        <v>153</v>
      </c>
      <c r="C32" t="s">
        <v>122</v>
      </c>
      <c r="D32" s="8"/>
      <c r="E32" s="8"/>
      <c r="F32" s="8"/>
      <c r="G32" s="8"/>
      <c r="H32" s="8"/>
      <c r="I32" s="9">
        <f t="shared" si="7"/>
        <v>0</v>
      </c>
      <c r="J32" s="9">
        <f t="shared" si="8"/>
        <v>50</v>
      </c>
      <c r="K32" s="10">
        <f t="shared" si="9"/>
        <v>15</v>
      </c>
      <c r="L32" s="18"/>
      <c r="M32" s="18"/>
      <c r="N32" s="18"/>
      <c r="O32" s="18"/>
      <c r="P32" s="18"/>
      <c r="Q32" s="12">
        <f t="shared" si="10"/>
        <v>50</v>
      </c>
      <c r="R32" s="9">
        <f t="shared" si="11"/>
        <v>15</v>
      </c>
      <c r="S32" s="13"/>
      <c r="T32" s="14" cm="1">
        <f t="array" ref="T32">(SUM(S32:S32/50)*50+50)</f>
        <v>50</v>
      </c>
      <c r="U32" s="9">
        <f t="shared" si="12"/>
        <v>20</v>
      </c>
      <c r="V32" s="15">
        <f t="shared" si="13"/>
        <v>50</v>
      </c>
    </row>
    <row r="33" spans="2:22" ht="15.75" customHeight="1" x14ac:dyDescent="0.3">
      <c r="B33" t="s">
        <v>154</v>
      </c>
      <c r="C33" t="s">
        <v>123</v>
      </c>
      <c r="D33" s="8"/>
      <c r="E33" s="8"/>
      <c r="F33" s="8"/>
      <c r="G33" s="8"/>
      <c r="H33" s="8"/>
      <c r="I33" s="9">
        <f t="shared" si="7"/>
        <v>0</v>
      </c>
      <c r="J33" s="9">
        <f t="shared" si="8"/>
        <v>50</v>
      </c>
      <c r="K33" s="10">
        <f t="shared" si="9"/>
        <v>15</v>
      </c>
      <c r="L33" s="18"/>
      <c r="M33" s="18"/>
      <c r="N33" s="18"/>
      <c r="O33" s="18"/>
      <c r="P33" s="18"/>
      <c r="Q33" s="12">
        <f t="shared" si="10"/>
        <v>50</v>
      </c>
      <c r="R33" s="9">
        <f t="shared" si="11"/>
        <v>15</v>
      </c>
      <c r="S33" s="13"/>
      <c r="T33" s="14" cm="1">
        <f t="array" ref="T33">(SUM(S33:S33/50)*50+50)</f>
        <v>50</v>
      </c>
      <c r="U33" s="9">
        <f t="shared" si="12"/>
        <v>20</v>
      </c>
      <c r="V33" s="15">
        <f t="shared" si="13"/>
        <v>50</v>
      </c>
    </row>
    <row r="34" spans="2:22" ht="15.75" customHeight="1" x14ac:dyDescent="0.3"/>
    <row r="35" spans="2:22" ht="15.75" customHeight="1" x14ac:dyDescent="0.3"/>
    <row r="36" spans="2:22" ht="15.75" customHeight="1" x14ac:dyDescent="0.3"/>
    <row r="37" spans="2:22" ht="15.75" customHeight="1" x14ac:dyDescent="0.3"/>
    <row r="38" spans="2:22" ht="15.75" customHeight="1" x14ac:dyDescent="0.3"/>
    <row r="39" spans="2:22" ht="15.75" customHeight="1" x14ac:dyDescent="0.3"/>
    <row r="40" spans="2:22" ht="15.75" customHeight="1" x14ac:dyDescent="0.3"/>
    <row r="41" spans="2:22" ht="15.75" customHeight="1" x14ac:dyDescent="0.3"/>
    <row r="42" spans="2:22" ht="15.75" customHeight="1" x14ac:dyDescent="0.3"/>
    <row r="43" spans="2:22" ht="15.75" customHeight="1" x14ac:dyDescent="0.3"/>
    <row r="44" spans="2:22" ht="15.75" customHeight="1" x14ac:dyDescent="0.3"/>
    <row r="45" spans="2:22" ht="15.75" customHeight="1" x14ac:dyDescent="0.3"/>
    <row r="46" spans="2:22" ht="15.75" customHeight="1" x14ac:dyDescent="0.3"/>
    <row r="47" spans="2:22" ht="15.75" customHeight="1" x14ac:dyDescent="0.3"/>
    <row r="48" spans="2:2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1">
    <mergeCell ref="D1:V1"/>
  </mergeCells>
  <pageMargins left="0.7" right="0.7" top="0.75" bottom="0.75" header="0" footer="0"/>
  <pageSetup paperSize="14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Nursing A</vt:lpstr>
      <vt:lpstr>Nursing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Giermin Sahagun</dc:creator>
  <cp:lastModifiedBy>Spyke Flores</cp:lastModifiedBy>
  <dcterms:created xsi:type="dcterms:W3CDTF">2022-09-17T11:53:24Z</dcterms:created>
  <dcterms:modified xsi:type="dcterms:W3CDTF">2026-04-07T00:24:47Z</dcterms:modified>
</cp:coreProperties>
</file>